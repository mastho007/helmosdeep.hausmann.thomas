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tudenthelmobe-my.sharepoint.com/personal/t_hausmann_student_helmo_be/Documents/1.Bloc1_25-26/UE9_Programmation_Inter/Activite_integrative/"/>
    </mc:Choice>
  </mc:AlternateContent>
  <xr:revisionPtr revIDLastSave="8" documentId="13_ncr:1_{F65ADBC6-D070-4C81-A20C-5D525802564C}" xr6:coauthVersionLast="47" xr6:coauthVersionMax="47" xr10:uidLastSave="{EF52E6EE-2AC2-4B85-8B13-2872E8005855}"/>
  <bookViews>
    <workbookView xWindow="-120" yWindow="-120" windowWidth="29040" windowHeight="15720" xr2:uid="{00000000-000D-0000-FFFF-FFFF00000000}"/>
  </bookViews>
  <sheets>
    <sheet name="Eval 1" sheetId="1" r:id="rId1"/>
    <sheet name="Eval 2" sheetId="2" r:id="rId2"/>
    <sheet name="Eval 3" sheetId="3" r:id="rId3"/>
    <sheet name="Acquis5" sheetId="4" r:id="rId4"/>
    <sheet name="Recap1s" sheetId="5" r:id="rId5"/>
    <sheet name="Eval 4" sheetId="6" r:id="rId6"/>
    <sheet name="Recap2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3" l="1"/>
  <c r="N32" i="3"/>
  <c r="N27" i="3"/>
  <c r="N15" i="3"/>
  <c r="N37" i="2"/>
  <c r="N32" i="2"/>
  <c r="N27" i="2"/>
  <c r="N15" i="2"/>
  <c r="N5" i="1" l="1"/>
  <c r="C14" i="7"/>
  <c r="B11" i="7"/>
  <c r="B3" i="7"/>
  <c r="N37" i="6"/>
  <c r="N32" i="6"/>
  <c r="N27" i="6"/>
  <c r="N15" i="6"/>
  <c r="N5" i="6"/>
  <c r="P3" i="6" s="1"/>
  <c r="D7" i="7" s="1"/>
  <c r="Q3" i="6"/>
  <c r="E7" i="7" s="1"/>
  <c r="O3" i="6"/>
  <c r="C7" i="7" s="1"/>
  <c r="N3" i="6"/>
  <c r="C3" i="6"/>
  <c r="C14" i="5"/>
  <c r="B12" i="5"/>
  <c r="C3" i="5"/>
  <c r="G10" i="4"/>
  <c r="G12" i="4" s="1"/>
  <c r="G5" i="4"/>
  <c r="G7" i="4" s="1"/>
  <c r="G2" i="4"/>
  <c r="G4" i="4" s="1"/>
  <c r="N5" i="3"/>
  <c r="C3" i="3"/>
  <c r="N5" i="2"/>
  <c r="Q3" i="2" s="1"/>
  <c r="E7" i="5" s="1"/>
  <c r="N3" i="2"/>
  <c r="C3" i="2"/>
  <c r="N40" i="1"/>
  <c r="N32" i="1"/>
  <c r="N27" i="1"/>
  <c r="N15" i="1"/>
  <c r="N3" i="1" l="1"/>
  <c r="B6" i="5" s="1"/>
  <c r="O3" i="2"/>
  <c r="C7" i="5" s="1"/>
  <c r="P3" i="2"/>
  <c r="D7" i="5" s="1"/>
  <c r="B19" i="4"/>
  <c r="Q3" i="3"/>
  <c r="E8" i="5" s="1"/>
  <c r="N3" i="3"/>
  <c r="O3" i="3"/>
  <c r="C8" i="5" s="1"/>
  <c r="P3" i="3"/>
  <c r="D8" i="5" s="1"/>
  <c r="P3" i="1"/>
  <c r="D6" i="5" s="1"/>
  <c r="Q3" i="1"/>
  <c r="E6" i="5" s="1"/>
  <c r="O3" i="1"/>
  <c r="C6" i="5" s="1"/>
  <c r="B7" i="5"/>
  <c r="G6" i="7"/>
  <c r="G6" i="5"/>
  <c r="B7" i="7"/>
  <c r="N41" i="6"/>
  <c r="N41" i="2" l="1"/>
  <c r="B8" i="5"/>
  <c r="N41" i="3"/>
  <c r="N45" i="1"/>
  <c r="E10" i="5"/>
  <c r="E6" i="7" s="1"/>
  <c r="R9" i="7" s="1"/>
  <c r="R8" i="7" s="1"/>
  <c r="D10" i="5"/>
  <c r="D6" i="7" s="1"/>
  <c r="D9" i="7" s="1"/>
  <c r="C10" i="5"/>
  <c r="C6" i="7" s="1"/>
  <c r="P9" i="7" s="1"/>
  <c r="P8" i="7" s="1"/>
  <c r="B10" i="5"/>
  <c r="E9" i="7" l="1"/>
  <c r="Q9" i="7"/>
  <c r="Q8" i="7" s="1"/>
  <c r="C9" i="7"/>
  <c r="B6" i="7"/>
  <c r="B13" i="5"/>
  <c r="L8" i="5"/>
  <c r="L9" i="5" s="1"/>
  <c r="L7" i="5"/>
  <c r="F9" i="5" l="1"/>
  <c r="O9" i="7"/>
  <c r="O8" i="7" s="1"/>
  <c r="N9" i="7"/>
  <c r="B9" i="7"/>
  <c r="N8" i="7" l="1"/>
  <c r="B12" i="7"/>
  <c r="N7" i="7"/>
  <c r="F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Mathy</author>
    <author>nicolas hendrikx</author>
  </authors>
  <commentList>
    <comment ref="M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Christiane Mathy:
Exemple: O,5 pour 2 infractions
</t>
        </r>
      </text>
    </comment>
    <comment ref="M12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nicolas hendrikx:
indiquez le nombre de tests d'acceptation non-observés. Si plus de 2 TA, l'itération n'est pas recevable.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Mathy</author>
    <author>nicolas hendrikx</author>
  </authors>
  <commentList>
    <comment ref="M9" authorId="0" shapeId="0" xr:uid="{866E342C-13BE-48F6-A061-7237536846C4}">
      <text>
        <r>
          <rPr>
            <sz val="11"/>
            <color theme="1"/>
            <rFont val="Calibri"/>
            <family val="2"/>
            <scheme val="minor"/>
          </rPr>
          <t xml:space="preserve">Christiane Mathy:
Exemple: O,5 pour 2 infractions
</t>
        </r>
      </text>
    </comment>
    <comment ref="M12" authorId="1" shapeId="0" xr:uid="{5856D4EB-95DF-46A7-BC74-E4DEF7BFE2A7}">
      <text>
        <r>
          <rPr>
            <sz val="11"/>
            <color theme="1"/>
            <rFont val="Calibri"/>
            <family val="2"/>
            <scheme val="minor"/>
          </rPr>
          <t>nicolas hendrikx:
indiquez le nombre de tests d'acceptation non-observés. Si plus de 2 TA, l'itération n'est pas recevable.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Mathy</author>
    <author>nicolas hendrikx</author>
  </authors>
  <commentList>
    <comment ref="M9" authorId="0" shapeId="0" xr:uid="{2B9C9EA7-B9FD-4548-8979-06BB69FD3B49}">
      <text>
        <r>
          <rPr>
            <sz val="11"/>
            <color theme="1"/>
            <rFont val="Calibri"/>
            <family val="2"/>
            <scheme val="minor"/>
          </rPr>
          <t xml:space="preserve">Christiane Mathy:
Exemple: O,5 pour 2 infractions
</t>
        </r>
      </text>
    </comment>
    <comment ref="M12" authorId="1" shapeId="0" xr:uid="{22797739-BBD6-4EF8-A617-2F12952BE295}">
      <text>
        <r>
          <rPr>
            <sz val="11"/>
            <color theme="1"/>
            <rFont val="Calibri"/>
            <family val="2"/>
            <scheme val="minor"/>
          </rPr>
          <t>nicolas hendrikx:
indiquez le nombre de tests d'acceptation non-observés. Si plus de 2 TA, l'itération n'est pas recevable.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Mathy</author>
    <author>nicolas hendrikx</author>
  </authors>
  <commentList>
    <comment ref="M9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Christiane Mathy:
Exemple: O,5 pour 2 infractions
</t>
        </r>
      </text>
    </comment>
    <comment ref="M12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nicolas hendrikx:
indiquez le nombre de tests d'acceptation non-observés. Si plus de 2 TA, l'itération n'est pas recevable.</t>
        </r>
      </text>
    </comment>
  </commentList>
</comments>
</file>

<file path=xl/sharedStrings.xml><?xml version="1.0" encoding="utf-8"?>
<sst xmlns="http://schemas.openxmlformats.org/spreadsheetml/2006/main" count="363" uniqueCount="176">
  <si>
    <t>Activité intégrative : itération 1</t>
  </si>
  <si>
    <t>Acquis évalués :</t>
  </si>
  <si>
    <t>Nom et prénom :</t>
  </si>
  <si>
    <t>Statut (Acquis=1, Non-acquis=0)</t>
  </si>
  <si>
    <t>Préalable</t>
  </si>
  <si>
    <t>Observé
(oui=1, non = 0)</t>
  </si>
  <si>
    <t>Total préalable</t>
  </si>
  <si>
    <t>Tous ces éléments sont à observer pour que le travail soit évaluable</t>
  </si>
  <si>
    <t>Une archive .zip est déposée sur Moodle.</t>
  </si>
  <si>
    <t>L'archive comporte un projet eclipse mentionnant le nom et le prénom (une infraction de nommage tolérée sur les 3 itérations)</t>
  </si>
  <si>
    <t>Le projet respecte la structure demandée (présence des répertoires src et tests, fichiers sources dans les bons paquetages. -0,25 sur la note finale par fichier mal placé)</t>
  </si>
  <si>
    <t xml:space="preserve">Pénalités: </t>
  </si>
  <si>
    <t>Les versions de Java, Junit et Eclipse sont conformes à celles demandées (une infraction tolérée sur les 3 itérations)</t>
  </si>
  <si>
    <t>Eclipse ne mentionne pas de problème de compilation (sauf problèmes de liaison au JDK, à JUnit 5)</t>
  </si>
  <si>
    <t>AI-1 - Lancer une partie</t>
  </si>
  <si>
    <t>TA non-observés :</t>
  </si>
  <si>
    <t>Acquis 1 : Programmer des énoncés de conception en Java selon les principes de la POO</t>
  </si>
  <si>
    <t>Observé</t>
  </si>
  <si>
    <t>Total Acquis 1</t>
  </si>
  <si>
    <t>Seuil de réussite (tous sont à valider pour obtenir l'acquis)</t>
  </si>
  <si>
    <t>[Prog. Procedurale] PMD relève au plus 2 méthodes trop longues et/ou trop complexes</t>
  </si>
  <si>
    <t>[Cohésion] PMD relève au plus 1 classe divine ou une classe de données</t>
  </si>
  <si>
    <t>[Masquage] Les classes métiers respectent la loi de Déméter (2 infractions tolérées)</t>
  </si>
  <si>
    <t>[Polymorphisme] Les paramètres des constructeurs des superviseurs sont des types abstraits (interfaces ou classe abstraite)</t>
  </si>
  <si>
    <t>Acquis 2 : Valider les comportements des objets programmés par des tests unitaires</t>
  </si>
  <si>
    <t>Total Acquis 2</t>
  </si>
  <si>
    <t>Acquis 3 : Documenter son code</t>
  </si>
  <si>
    <t>Total Acquis 3</t>
  </si>
  <si>
    <t>Les types et les méthodes publics sont documentés par de la javadoc inspirée par les énoncés (cf. PMD, 5 fautes tolérées)</t>
  </si>
  <si>
    <t>Les pré ou postconditions demandées figurent dans la javadoc et les réponses sont correctes.</t>
  </si>
  <si>
    <t>La CTT demandée est correctement évaluée dans la Javadoc.</t>
  </si>
  <si>
    <t>Acquis 4 : Justifier le choix d'une structure de données particulière</t>
  </si>
  <si>
    <t>Total Acquis 4</t>
  </si>
  <si>
    <t>Les choix de type de collection sont correctement documentés dans le code.</t>
  </si>
  <si>
    <t>Les choix d'implémentation sont correctement documentés dans le code.</t>
  </si>
  <si>
    <t>Degré de maitrise</t>
  </si>
  <si>
    <t>Total degré de mait.</t>
  </si>
  <si>
    <t>Vérifiés SI tous les critères de seuil de réussite ont été observés pour affiner la cote</t>
  </si>
  <si>
    <t>Les collections sont utilisées sans réinventer la roue (pas de reprogrammation de méthodes existantes, ou de parcours séquentiel quand l'accès direct est prévu par exemple)</t>
  </si>
  <si>
    <t>Activité intégrative : itération 2</t>
  </si>
  <si>
    <t>Activité intégrative : itération 3</t>
  </si>
  <si>
    <t>Libellé</t>
  </si>
  <si>
    <t>Pondération</t>
  </si>
  <si>
    <t>TI</t>
  </si>
  <si>
    <t xml:space="preserve">
Défense orale: présentation fonctionnelle (~2min)</t>
  </si>
  <si>
    <t>Nbr. Éléments observés</t>
  </si>
  <si>
    <t>I</t>
  </si>
  <si>
    <t>La présentation démontre une préparation (scénario prévu à l'avance, montrant un ou deux cas de figure intéressants, écrans présentant des données réelles et représentatives, etc.).</t>
  </si>
  <si>
    <t>Nbr. Éléments total</t>
  </si>
  <si>
    <t>S</t>
  </si>
  <si>
    <t>Le support est de qualité (diaporama et code lisibles), la voix est suffisamment audible, absence de temps morts,  etc…</t>
  </si>
  <si>
    <t>Niveau obtenu</t>
  </si>
  <si>
    <t>B</t>
  </si>
  <si>
    <t>Défense orale: présentation technique (~3min)</t>
  </si>
  <si>
    <t>TB</t>
  </si>
  <si>
    <t xml:space="preserve">La présentation explique les choix de réalisation d'un des algorithmes du jeu au choix </t>
  </si>
  <si>
    <t>Présentation du choix des options du menu...</t>
  </si>
  <si>
    <t xml:space="preserve">La présentation explique la CTT d'un des algorithmes du jeu au choix </t>
  </si>
  <si>
    <t>La présentation explique un choix de collection (type et implémentation)</t>
  </si>
  <si>
    <t>Le vocabulaire utilisé est adéquat et précis (principes orientés objet, complexités, …)</t>
  </si>
  <si>
    <t>Défense orale: conclusion (~2 min)</t>
  </si>
  <si>
    <t>La conclusion mentionne le degré de réalistion du projet et met en évidence ce qui n'a pas été achevé.</t>
  </si>
  <si>
    <t>La conclusion mentionne les apports de l'activité du point de vue personnel (ex:je m'organise mieux) et technique (ex:je comprends enfin ce qu'est une boucle)</t>
  </si>
  <si>
    <t>La conclusion énonce plusieurs difficultés rencontrées et des pistes de solution pour y remédier (ex: lire un énoncé, donner des responsabilités aux classes, ...).</t>
  </si>
  <si>
    <t>La conclusion mentionne des pistes à explorer pour améliorer sa productivité (ex:travailler la Poo, faire plus de tests unitaires, etc.) et les bénéfices attendus.</t>
  </si>
  <si>
    <t>Pénalité si parcours "commu" pas finalisé avant la défense ou de qualité insuffisante</t>
  </si>
  <si>
    <t>De 1 à 10 points de pénalité</t>
  </si>
  <si>
    <t>Inversement, la vidéo déposée sur HELMo Learn peut permettre de valider l'acquis 5 si la défense orale était mauvaise</t>
  </si>
  <si>
    <t>Note sur 20</t>
  </si>
  <si>
    <t>Récapitulatif</t>
  </si>
  <si>
    <t>Acquis 1</t>
  </si>
  <si>
    <t>Acquis 2</t>
  </si>
  <si>
    <t>Acquis 3</t>
  </si>
  <si>
    <t>Acquis 4</t>
  </si>
  <si>
    <t>Acquis 5</t>
  </si>
  <si>
    <t>Eval 1</t>
  </si>
  <si>
    <t>Eval 2</t>
  </si>
  <si>
    <t>Oral si au moins deux acquis validés parmi les 4 ;</t>
  </si>
  <si>
    <t>Eval 3</t>
  </si>
  <si>
    <t>• Si deux acquis doivent encore être validés, l’un des deux doit avoir été observé préalablement ;</t>
  </si>
  <si>
    <t>Validation via défense orale éventuelle* (0, 1 ou 2)</t>
  </si>
  <si>
    <t>• Si un seul acquis doit être validé, il n’est pas nécessaire qu’il ait déjà été observé.</t>
  </si>
  <si>
    <t>Total</t>
  </si>
  <si>
    <t>Appréciation suite à l'oral(-2 à +2)</t>
  </si>
  <si>
    <t>Pénalités des eval 1 à 3</t>
  </si>
  <si>
    <t>Note finale</t>
  </si>
  <si>
    <t>Nombre d'itérations rendues</t>
  </si>
  <si>
    <t>*L'étudiant répond de façon satisfaisante aux questions, ce qui lui permet de valider certains acquis manquants</t>
  </si>
  <si>
    <t xml:space="preserve">Questions posées: </t>
  </si>
  <si>
    <t>Activité intégrative : itération 4</t>
  </si>
  <si>
    <t>Tol :</t>
  </si>
  <si>
    <t>Problèmes : 
NcssCount in ./src/chrominox/domains/scoring/ByZonesPointsStrategy.java at line 69 : The method 'computePointsFor(ChroMosaic, Chromino, Coordinate)' has a NCSS line count of 22.
CyclomaticComplexity in ./src/chrominox/domains/scoring/ByZonesPointsStrategy.java at line 69 : The method 'computePointsFor(ChroMosaic, Chromino, Coordinate)' has a cyclomatic complexity of 10.</t>
  </si>
  <si>
    <t>Eval 1 à 3</t>
  </si>
  <si>
    <t>En seconde session, la seule vidéo de présentation permet de valider l'acquis 5</t>
  </si>
  <si>
    <t>Eval 4</t>
  </si>
  <si>
    <t xml:space="preserve">Oral si 3 acquis différents sont observés dont un acquis observé sur l’itération 4 </t>
  </si>
  <si>
    <t xml:space="preserve">et si certains acquis n'ont jamais été observés, l'un d'eux doit être observé sur l'itération 4. </t>
  </si>
  <si>
    <t>Nombre d'acquis jamais observés sur 1s</t>
  </si>
  <si>
    <t>Pénalités des eval 1 à 4</t>
  </si>
  <si>
    <t>AI-2 - Inspecter la carte</t>
  </si>
  <si>
    <t>AI-3  - Quitter la partie</t>
  </si>
  <si>
    <t>[Cohésion] PMD relève au plus 2 classes comportant trop de champs.</t>
  </si>
  <si>
    <t>[Encapsulation] PMD relève au plus 2 champs d'accès autres que private</t>
  </si>
  <si>
    <t>[Architecture] Les tests ArchUnit réussissent tous</t>
  </si>
  <si>
    <t>[Polymorphisme] PMD relève aucune alerte LooseCoupling</t>
  </si>
  <si>
    <t>Les classes du domaine sont validées par des tests unitaires. Les classes de test sont définis dans le même package (mais dans le répertoire de source "tests").</t>
  </si>
  <si>
    <t>Quand je teste le package domains, j'obtiens une couverture d'au moins 90%.</t>
  </si>
  <si>
    <t>Tous les tests unitaires du package domains réussissent. (1 test en échec toléré)</t>
  </si>
  <si>
    <t>Le paquetage domains est couvert à 100% par les test correspondant.</t>
  </si>
  <si>
    <t>PMD ne rélève aucun problème de méthode trop complexe et/ou trop longue.</t>
  </si>
  <si>
    <t>Le principe des copies défensives est globalement appliqué.</t>
  </si>
  <si>
    <t>[Encapsulation] Le principe de copies défensives est appliqué au moins deux fois, que ce soit dans les constructeurs ou pour les résultats retournés.</t>
  </si>
  <si>
    <t>Le code définit des méthodes par défaut dans les interfaces qui sont appelées par les clients.</t>
  </si>
  <si>
    <t>PMD ne relève aucun problème de data class ou de god object.</t>
  </si>
  <si>
    <t>[RDD] Les superviseurs n'exécutent pas les requêtes de l'utilisateur, elles les transmettent aux classes du domaine.</t>
  </si>
  <si>
    <t>Un plan de test exhaustif valide le code correspondant à la CTT demandée (Happy path + au moins 2 cas d'erreurs)</t>
  </si>
  <si>
    <t>Les objets sont timides (n'exposent que le minimum et respectent Tell Don't Ask et Déméter)</t>
  </si>
  <si>
    <t>Au moins deux préconditions sont implémentées avec des contrats complets (aller au-delà du test de nullité).</t>
  </si>
  <si>
    <t>AI-1 : Lancer une partie</t>
  </si>
  <si>
    <t>V</t>
  </si>
  <si>
    <t>Quand je sélectionne l’item « Nouvelle Partie », l’application navigue vers la vue PLAY_GAME, affiche la carte de la Terre du Milieu et le message « Le Mordor vs les Hommes », « Au tour du Mordor ».</t>
  </si>
  <si>
    <t>Quand je sélectionne l’item « Quitter », l’application termine son exécution.</t>
  </si>
  <si>
    <t>Quand je lance l’application, celle-ci me présente un menu principal composé des items « Nouvelle partie » et « Quitter ».</t>
  </si>
  <si>
    <t>AI-2 : Inspecter la carte de la Terre du Milieu</t>
  </si>
  <si>
    <t>AI-3 : Abandonner la partie</t>
  </si>
  <si>
    <t>Soit une partie lancée, quand j’appuie sur la touche « Esc », je reviens au menu principal.</t>
  </si>
  <si>
    <t>Soit une partie démarrée, la case active est de coordonnées (0,0) et la situation indique « PLAINE [1] ». Le sprite affiché est celui du Général du Mordor et sa description affiche « Sauron ».</t>
  </si>
  <si>
    <t>Soit une partie démarrée, quand j’appuie sur la touche directionnelle droite, la case active est de coordonnées (1,0). Quand j’appuie sur la touche directionnelle gauche, je reviens à la case active (0,0).</t>
  </si>
  <si>
    <t>Soit une partie démarrée, quand le joueur déplace la case active une fois vers
le bas sur une forêt de la carte, la situation messages indique « FORÊT [2] ». Le sprite affiché est celui de Wargs et leur description indique « Wargs ».</t>
  </si>
  <si>
    <t>Soit une partie démarrée, quand le joueur déplace la case active deux fois vers le bas sur une montagne de la carte, la situation messages indique « MONTAGNE [3] ». Il n’y a pas de sprite affiché sur la case.</t>
  </si>
  <si>
    <t>Les collections sont utilisées sans réinventer la roue (pas de reprogrammation de méthodes existantes, ou de parcours séquentiel quand l'accès direct est prévu par exemple).</t>
  </si>
  <si>
    <t>Un plan de test exhaustif valide le code correspondant à la CTT demandée (Happy path + au moins 2 cas d'erreurs).</t>
  </si>
  <si>
    <t>Les objets sont timides (n'exposent que le minimum et respectent Tell Don't Ask et Déméter).</t>
  </si>
  <si>
    <t>Les types et les méthodes publics sont documentés par de la javadoc inspirée par les énoncés (cf. PMD, 5 fautes tolérées).</t>
  </si>
  <si>
    <t>Tous les tests unitaires du package domains réussissent (1 test en échec toléré).</t>
  </si>
  <si>
    <t>[Prog. Procedurale] PMD relève au plus 2 méthodes trop longues et/ou trop complexes.</t>
  </si>
  <si>
    <t>[Cohésion] PMD relève au plus 1 classe divine ou une classe de données.</t>
  </si>
  <si>
    <t>[Encapsulation] PMD relève au plus 2 champs d'accès autres que private.</t>
  </si>
  <si>
    <t>[Polymorphisme] PMD relève aucune alerte LooseCoupling.</t>
  </si>
  <si>
    <t>[Architecture] Les tests ArchUnit réussissent tous.</t>
  </si>
  <si>
    <t>[Masquage] Les classes métiers respectent la loi de Déméter (2 infractions tolérées).</t>
  </si>
  <si>
    <t>REMARQUES :</t>
  </si>
  <si>
    <t>Les versions de Java, Junit et Eclipse sont conformes à celles demandées (une infraction tolérée sur les 3 itérations).</t>
  </si>
  <si>
    <t>AI-2 - Inspecter la carte de la Terre du Milieu</t>
  </si>
  <si>
    <t>Eclipse ne mentionne pas de problème de compilation (sauf problèmes de liaison au JDK, à JUnit 5).</t>
  </si>
  <si>
    <t>Le projet respecte la structure demandée (présence des répertoires src et tests, fichiers sources dans les bons paquetages. -0,25 sur la note finale par fichier mal placé).</t>
  </si>
  <si>
    <t>L'archive comporte un projet eclipse mentionnant le nom et le prénom (une infraction de nommage tolérée sur les 3 itérations).</t>
  </si>
  <si>
    <t>AI-3 - Abandonner la partie</t>
  </si>
  <si>
    <t>AI-4 - ???</t>
  </si>
  <si>
    <t>AI-5 - ???</t>
  </si>
  <si>
    <t>AI-6 - ???</t>
  </si>
  <si>
    <t>AI-7 - ???</t>
  </si>
  <si>
    <t>AI-8 - ???</t>
  </si>
  <si>
    <t>AI-9 - ???</t>
  </si>
  <si>
    <t>[Polymorphisme] Les paramètres des constructeurs des superviseurs sont des types abstraits (interfaces ou classe abstraite).</t>
  </si>
  <si>
    <t>Thomas Hausmann</t>
  </si>
  <si>
    <t>X</t>
  </si>
  <si>
    <t>=&gt; Voir les remarques en fin de grille.</t>
  </si>
  <si>
    <t>[Test d'acceptation non observé] Il manque une fonctionnalité indispensable : déterminer la position du général de l'armée qui commence la partie !</t>
  </si>
  <si>
    <t>!</t>
  </si>
  <si>
    <t>[Tests d'acceptation partiellement observés] En raison des problèmes ci-dessous :</t>
  </si>
  <si>
    <t>* L'exploration de la carte n'est pas intégralement possible. Par exemple, pour la carte ci-contre, je ne parviens pas à me rendre sur les tuiles de la dernière colonne :</t>
  </si>
  <si>
    <t>* L'application affiche la carte transposée de celle attendue. Par exemple, les tuile et unité situées aux coordonnées (0, 2) sont affichées en (2, 0).</t>
  </si>
  <si>
    <t>[Remarque] Evite l'emploi d'un attribut non final static, tel que GameManager.instance. Une technique plus propre a été montrée en labo.</t>
  </si>
  <si>
    <t>Cependant, j'ai malgré tout indiqué certains points d'attention pour l'itération suivante.</t>
  </si>
  <si>
    <t>Les acquis n'ont pas été évalués car plusieurs tests d'acceptation n'ont pas été observés.</t>
  </si>
  <si>
    <t>[Utilisation d'une IA générative] Plusieurs aspects de ton code sont caractéristiques de l'utilisation d'une IA générative. Je te rappelle que cette utilisation est proscrite pour la réalisation de l'activité intégrative (à une exception près) !</t>
  </si>
  <si>
    <t>ATTENTION : Plusieurs infractions constatées en raison, par exemple (liste non exhaustive) des accesseurs getMap, getMordorArmy et getCoalitionArmy de la classe HelmoDeepGame.</t>
  </si>
  <si>
    <t>[Important] La distance de Manhattan ne fonctionne pas avec ce plateau d'hexagones !</t>
  </si>
  <si>
    <t>ATTENTION, il y a plusieurs problèmes constatés !</t>
  </si>
  <si>
    <t>Tu dois clairement définir les lettres représentant les différentes quantités de données au début de ton évaluation de CTT.</t>
  </si>
  <si>
    <t>L'évaluation de la CTT doit être beaucoup plus détaillée sur la partie relative à ton code, notamment pour les méthodes de la classe HelmosDeepGameFactory.</t>
  </si>
  <si>
    <t>Il faut également tenir compte des CTT des structures de données manipulées.</t>
  </si>
  <si>
    <t>Cite également LinkedHashMap.</t>
  </si>
  <si>
    <t>ATTENTION : Tu dois d'abord énoncer les besoins ! La méthodologie à suivre a été montrée en labo.</t>
  </si>
  <si>
    <t>Tu dois envisager les autres possibilités et expliquer en quoi elles ne sont pas pertinentes.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</si>
</sst>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rgb="FFFFFFFF"/>
      <name val="Calibri Light"/>
      <family val="2"/>
      <scheme val="major"/>
    </font>
    <font>
      <sz val="11"/>
      <color rgb="FFFFFFFF"/>
      <name val="Calibri Light"/>
      <family val="2"/>
      <scheme val="major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i/>
      <sz val="11"/>
      <color theme="5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0"/>
      <color theme="1"/>
      <name val="Calibri"/>
      <family val="2"/>
    </font>
    <font>
      <b/>
      <i/>
      <u/>
      <sz val="11"/>
      <color theme="1"/>
      <name val="Calibri"/>
      <family val="2"/>
      <scheme val="minor"/>
    </font>
    <font>
      <i/>
      <sz val="11"/>
      <color rgb="FFFF0B42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u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03F9F"/>
        <bgColor rgb="FF303F9F"/>
      </patternFill>
    </fill>
    <fill>
      <patternFill patternType="solid">
        <fgColor rgb="FF3F51B5"/>
        <bgColor rgb="FF3F51B5"/>
      </patternFill>
    </fill>
    <fill>
      <patternFill patternType="solid">
        <fgColor rgb="FFCCCCCC"/>
        <bgColor rgb="FFCCCCCC"/>
      </patternFill>
    </fill>
    <fill>
      <patternFill patternType="solid">
        <fgColor rgb="FFFF5722"/>
        <bgColor rgb="FFFF57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7E7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3" fillId="2" borderId="0"/>
    <xf numFmtId="0" fontId="1" fillId="3" borderId="0"/>
    <xf numFmtId="0" fontId="6" fillId="0" borderId="0"/>
    <xf numFmtId="0" fontId="1" fillId="4" borderId="0"/>
    <xf numFmtId="0" fontId="3" fillId="5" borderId="0"/>
    <xf numFmtId="0" fontId="1" fillId="6" borderId="0"/>
    <xf numFmtId="0" fontId="3" fillId="7" borderId="0"/>
    <xf numFmtId="0" fontId="3" fillId="8" borderId="0"/>
    <xf numFmtId="0" fontId="1" fillId="9" borderId="0"/>
    <xf numFmtId="0" fontId="1" fillId="10" borderId="0"/>
  </cellStyleXfs>
  <cellXfs count="86">
    <xf numFmtId="0" fontId="0" fillId="0" borderId="0" xfId="0"/>
    <xf numFmtId="0" fontId="3" fillId="2" borderId="0" xfId="1"/>
    <xf numFmtId="0" fontId="1" fillId="3" borderId="0" xfId="2"/>
    <xf numFmtId="0" fontId="3" fillId="8" borderId="0" xfId="8"/>
    <xf numFmtId="0" fontId="3" fillId="7" borderId="0" xfId="7"/>
    <xf numFmtId="0" fontId="3" fillId="7" borderId="0" xfId="7" quotePrefix="1"/>
    <xf numFmtId="0" fontId="3" fillId="5" borderId="0" xfId="5" applyAlignment="1">
      <alignment wrapText="1"/>
    </xf>
    <xf numFmtId="0" fontId="3" fillId="7" borderId="0" xfId="7" applyAlignment="1">
      <alignment vertical="top"/>
    </xf>
    <xf numFmtId="0" fontId="3" fillId="7" borderId="0" xfId="7" quotePrefix="1" applyAlignment="1">
      <alignment vertical="top"/>
    </xf>
    <xf numFmtId="0" fontId="5" fillId="0" borderId="0" xfId="0" applyFont="1"/>
    <xf numFmtId="0" fontId="1" fillId="4" borderId="0" xfId="4"/>
    <xf numFmtId="0" fontId="7" fillId="11" borderId="0" xfId="0" applyFont="1" applyFill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8" fillId="12" borderId="0" xfId="0" applyFont="1" applyFill="1" applyAlignment="1">
      <alignment vertical="center" wrapText="1"/>
    </xf>
    <xf numFmtId="0" fontId="1" fillId="13" borderId="0" xfId="0" applyFont="1" applyFill="1"/>
    <xf numFmtId="0" fontId="1" fillId="0" borderId="0" xfId="0" applyFont="1" applyAlignment="1">
      <alignment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0" fillId="14" borderId="0" xfId="0" applyFont="1" applyFill="1"/>
    <xf numFmtId="0" fontId="10" fillId="0" borderId="0" xfId="0" applyFont="1"/>
    <xf numFmtId="0" fontId="0" fillId="0" borderId="6" xfId="0" applyBorder="1"/>
    <xf numFmtId="0" fontId="0" fillId="0" borderId="7" xfId="0" applyBorder="1"/>
    <xf numFmtId="0" fontId="9" fillId="0" borderId="0" xfId="0" applyFont="1"/>
    <xf numFmtId="0" fontId="0" fillId="4" borderId="0" xfId="4" applyFont="1" applyAlignment="1">
      <alignment wrapText="1"/>
    </xf>
    <xf numFmtId="0" fontId="3" fillId="0" borderId="1" xfId="8" applyFill="1" applyBorder="1"/>
    <xf numFmtId="0" fontId="1" fillId="0" borderId="1" xfId="9" applyFill="1" applyBorder="1"/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8" fillId="12" borderId="0" xfId="0" applyFont="1" applyFill="1" applyAlignment="1">
      <alignment horizontal="center" vertical="center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0" fillId="0" borderId="0" xfId="4" applyFont="1" applyFill="1" applyAlignment="1">
      <alignment wrapText="1"/>
    </xf>
    <xf numFmtId="0" fontId="2" fillId="0" borderId="0" xfId="0" applyFont="1"/>
    <xf numFmtId="0" fontId="14" fillId="0" borderId="0" xfId="3" applyFont="1" applyAlignment="1">
      <alignment horizontal="centerContinuous"/>
    </xf>
    <xf numFmtId="0" fontId="6" fillId="0" borderId="0" xfId="3" applyAlignment="1">
      <alignment horizontal="centerContinuous"/>
    </xf>
    <xf numFmtId="0" fontId="6" fillId="0" borderId="0" xfId="3"/>
    <xf numFmtId="0" fontId="0" fillId="4" borderId="0" xfId="4" applyFont="1"/>
    <xf numFmtId="0" fontId="0" fillId="0" borderId="0" xfId="0" applyAlignment="1">
      <alignment vertical="top"/>
    </xf>
    <xf numFmtId="0" fontId="5" fillId="0" borderId="0" xfId="0" applyFont="1" applyAlignment="1">
      <alignment vertical="center" wrapText="1"/>
    </xf>
    <xf numFmtId="0" fontId="5" fillId="15" borderId="0" xfId="0" applyFont="1" applyFill="1"/>
    <xf numFmtId="0" fontId="0" fillId="0" borderId="0" xfId="4" applyFont="1" applyFill="1"/>
    <xf numFmtId="0" fontId="16" fillId="0" borderId="0" xfId="0" applyFont="1"/>
    <xf numFmtId="0" fontId="17" fillId="0" borderId="0" xfId="0" applyFont="1"/>
    <xf numFmtId="0" fontId="0" fillId="0" borderId="0" xfId="0" applyAlignment="1">
      <alignment horizontal="left" wrapText="1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49" fontId="22" fillId="0" borderId="0" xfId="0" applyNumberFormat="1" applyFont="1"/>
    <xf numFmtId="0" fontId="22" fillId="0" borderId="0" xfId="0" applyFont="1" applyAlignment="1">
      <alignment horizontal="left" vertical="center"/>
    </xf>
    <xf numFmtId="0" fontId="22" fillId="16" borderId="0" xfId="0" applyFont="1" applyFill="1" applyAlignment="1">
      <alignment horizontal="left" vertical="center"/>
    </xf>
    <xf numFmtId="0" fontId="0" fillId="16" borderId="0" xfId="0" applyFill="1"/>
    <xf numFmtId="0" fontId="22" fillId="0" borderId="0" xfId="0" applyFont="1"/>
    <xf numFmtId="0" fontId="0" fillId="0" borderId="0" xfId="0" applyAlignment="1">
      <alignment horizontal="left"/>
    </xf>
    <xf numFmtId="0" fontId="0" fillId="0" borderId="0" xfId="0"/>
    <xf numFmtId="0" fontId="1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" fillId="2" borderId="0" xfId="1" applyAlignment="1">
      <alignment horizontal="center"/>
    </xf>
    <xf numFmtId="0" fontId="3" fillId="3" borderId="0" xfId="2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3" fillId="5" borderId="0" xfId="5" applyAlignment="1">
      <alignment horizontal="center"/>
    </xf>
    <xf numFmtId="0" fontId="5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horizontal="left"/>
    </xf>
    <xf numFmtId="0" fontId="3" fillId="10" borderId="0" xfId="10" applyFont="1"/>
    <xf numFmtId="0" fontId="3" fillId="8" borderId="0" xfId="8" applyAlignment="1">
      <alignment horizontal="center"/>
    </xf>
    <xf numFmtId="0" fontId="3" fillId="6" borderId="0" xfId="6" applyFont="1" applyAlignment="1">
      <alignment horizontal="left"/>
    </xf>
    <xf numFmtId="0" fontId="1" fillId="4" borderId="0" xfId="4" applyAlignment="1">
      <alignment horizontal="left" wrapText="1"/>
    </xf>
    <xf numFmtId="0" fontId="0" fillId="4" borderId="0" xfId="4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8" fillId="1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6" fillId="0" borderId="0" xfId="3" applyAlignment="1">
      <alignment horizontal="center"/>
    </xf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1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</cellXfs>
  <cellStyles count="11">
    <cellStyle name="20 % - Accent1" xfId="4" builtinId="30"/>
    <cellStyle name="20 % - Accent6" xfId="9" builtinId="50"/>
    <cellStyle name="60 % - Accent1" xfId="2" builtinId="32"/>
    <cellStyle name="60 % - Accent2" xfId="6" builtinId="36"/>
    <cellStyle name="60 % - Accent6" xfId="10" builtinId="52"/>
    <cellStyle name="Accent1" xfId="1" builtinId="29"/>
    <cellStyle name="Accent2" xfId="5" builtinId="33"/>
    <cellStyle name="Accent3" xfId="7" builtinId="37"/>
    <cellStyle name="Accent6" xfId="8" builtinId="49"/>
    <cellStyle name="Normal" xfId="0" builtinId="0"/>
    <cellStyle name="Titre" xfId="3" builtinId="15"/>
  </cellStyles>
  <dxfs count="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9C9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FFE7E7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35719</xdr:colOff>
      <xdr:row>58</xdr:row>
      <xdr:rowOff>154782</xdr:rowOff>
    </xdr:from>
    <xdr:to>
      <xdr:col>17</xdr:col>
      <xdr:colOff>245795</xdr:colOff>
      <xdr:row>70</xdr:row>
      <xdr:rowOff>161077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31D1177-B020-38B6-FC89-266CDB4BD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6938" y="12965907"/>
          <a:ext cx="579170" cy="2292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"/>
  <sheetViews>
    <sheetView tabSelected="1" zoomScale="90" zoomScaleNormal="90" workbookViewId="0">
      <selection activeCell="M44" sqref="M44"/>
    </sheetView>
  </sheetViews>
  <sheetFormatPr baseColWidth="10" defaultColWidth="9.28515625" defaultRowHeight="15" x14ac:dyDescent="0.25"/>
  <cols>
    <col min="11" max="11" width="9.28515625" customWidth="1"/>
    <col min="13" max="13" width="18.28515625" customWidth="1"/>
    <col min="14" max="17" width="5.5703125" customWidth="1"/>
  </cols>
  <sheetData>
    <row r="1" spans="1:20" ht="21" customHeight="1" x14ac:dyDescent="0.35">
      <c r="A1" s="66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2"/>
      <c r="L1" s="62"/>
    </row>
    <row r="2" spans="1:20" x14ac:dyDescent="0.25">
      <c r="M2" s="1" t="s">
        <v>1</v>
      </c>
      <c r="N2" s="1">
        <v>1</v>
      </c>
      <c r="O2" s="1">
        <v>2</v>
      </c>
      <c r="P2" s="1">
        <v>3</v>
      </c>
      <c r="Q2" s="1">
        <v>4</v>
      </c>
    </row>
    <row r="3" spans="1:20" x14ac:dyDescent="0.25">
      <c r="A3" s="71" t="s">
        <v>2</v>
      </c>
      <c r="B3" s="61"/>
      <c r="C3" t="s">
        <v>155</v>
      </c>
      <c r="M3" s="75" t="s">
        <v>3</v>
      </c>
      <c r="N3">
        <f>IF(OR(AND($O$5=($N$5+1),$K$10=0),$N$5=$O$5),TRUNC($N$15/$O$15),0)</f>
        <v>0</v>
      </c>
      <c r="O3">
        <f>IF(OR(AND($O$5=($N$5+1),$K$10=0),$N$5=$O$5),TRUNC($N$27/$O$27),0)</f>
        <v>0</v>
      </c>
      <c r="P3">
        <f>IF(OR(AND($O$5=($N$5+1),$K$10=0),$N$5=$O$5),TRUNC($N$32/$O$32),0)</f>
        <v>0</v>
      </c>
      <c r="Q3">
        <f>IF(OR(AND($O$5=($N$5+1),$K$10=0),$N$5=$O$5),TRUNC($N$40/$O$40),0)</f>
        <v>0</v>
      </c>
    </row>
    <row r="4" spans="1:20" x14ac:dyDescent="0.25">
      <c r="M4" s="61"/>
      <c r="S4" s="48" t="s">
        <v>118</v>
      </c>
      <c r="T4" s="49"/>
    </row>
    <row r="5" spans="1:20" ht="45" customHeight="1" x14ac:dyDescent="0.25">
      <c r="A5" s="68" t="s">
        <v>4</v>
      </c>
      <c r="B5" s="61"/>
      <c r="C5" s="61"/>
      <c r="D5" s="61"/>
      <c r="E5" s="61"/>
      <c r="F5" s="61"/>
      <c r="G5" s="61"/>
      <c r="H5" s="61"/>
      <c r="I5" s="61"/>
      <c r="J5" s="61"/>
      <c r="K5" s="6" t="s">
        <v>5</v>
      </c>
      <c r="M5" s="7" t="s">
        <v>6</v>
      </c>
      <c r="N5" s="7">
        <f>IF($M$12&lt;=2,SUM($K$7:$K$14), 0)</f>
        <v>0</v>
      </c>
      <c r="O5" s="8">
        <v>8</v>
      </c>
      <c r="S5" s="50" t="s">
        <v>119</v>
      </c>
      <c r="T5" s="49" t="s">
        <v>122</v>
      </c>
    </row>
    <row r="6" spans="1:20" x14ac:dyDescent="0.25">
      <c r="A6" s="74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1"/>
      <c r="M6" s="51"/>
      <c r="N6" s="51"/>
      <c r="O6" s="51"/>
      <c r="S6" s="50" t="s">
        <v>119</v>
      </c>
      <c r="T6" s="49" t="s">
        <v>121</v>
      </c>
    </row>
    <row r="7" spans="1:20" x14ac:dyDescent="0.25">
      <c r="A7" s="60" t="s">
        <v>8</v>
      </c>
      <c r="B7" s="61"/>
      <c r="C7" s="61"/>
      <c r="D7" s="61"/>
      <c r="E7" s="61"/>
      <c r="F7" s="61"/>
      <c r="G7" s="61"/>
      <c r="H7" s="61"/>
      <c r="I7" s="61"/>
      <c r="J7" s="61"/>
      <c r="K7">
        <v>1</v>
      </c>
      <c r="M7" s="51"/>
      <c r="N7" s="51"/>
      <c r="O7" s="51"/>
      <c r="S7" s="50" t="s">
        <v>119</v>
      </c>
      <c r="T7" s="49" t="s">
        <v>120</v>
      </c>
    </row>
    <row r="8" spans="1:20" ht="30" customHeight="1" x14ac:dyDescent="0.25">
      <c r="A8" s="67" t="s">
        <v>146</v>
      </c>
      <c r="B8" s="61"/>
      <c r="C8" s="61"/>
      <c r="D8" s="61"/>
      <c r="E8" s="61"/>
      <c r="F8" s="61"/>
      <c r="G8" s="61"/>
      <c r="H8" s="61"/>
      <c r="I8" s="61"/>
      <c r="J8" s="61"/>
      <c r="K8">
        <v>1</v>
      </c>
      <c r="M8" s="51"/>
      <c r="N8" s="51"/>
      <c r="O8" s="51"/>
      <c r="S8" s="48" t="s">
        <v>123</v>
      </c>
    </row>
    <row r="9" spans="1:20" ht="30" customHeight="1" x14ac:dyDescent="0.25">
      <c r="A9" s="67" t="s">
        <v>145</v>
      </c>
      <c r="B9" s="61"/>
      <c r="C9" s="61"/>
      <c r="D9" s="61"/>
      <c r="E9" s="61"/>
      <c r="F9" s="61"/>
      <c r="G9" s="61"/>
      <c r="H9" s="61"/>
      <c r="I9" s="61"/>
      <c r="J9" s="61"/>
      <c r="K9">
        <v>1</v>
      </c>
      <c r="L9" t="s">
        <v>11</v>
      </c>
      <c r="M9" s="51">
        <v>0</v>
      </c>
      <c r="N9" s="51"/>
      <c r="O9" s="51"/>
      <c r="S9" s="50" t="s">
        <v>156</v>
      </c>
      <c r="T9" s="49" t="s">
        <v>126</v>
      </c>
    </row>
    <row r="10" spans="1:20" ht="28.5" customHeight="1" x14ac:dyDescent="0.25">
      <c r="A10" s="67" t="s">
        <v>142</v>
      </c>
      <c r="B10" s="61"/>
      <c r="C10" s="61"/>
      <c r="D10" s="61"/>
      <c r="E10" s="61"/>
      <c r="F10" s="61"/>
      <c r="G10" s="61"/>
      <c r="H10" s="61"/>
      <c r="I10" s="61"/>
      <c r="J10" s="61"/>
      <c r="K10">
        <v>1</v>
      </c>
      <c r="M10" s="51"/>
      <c r="N10" s="51"/>
      <c r="O10" s="51"/>
      <c r="S10" s="50" t="s">
        <v>159</v>
      </c>
      <c r="T10" s="49" t="s">
        <v>127</v>
      </c>
    </row>
    <row r="11" spans="1:20" x14ac:dyDescent="0.25">
      <c r="A11" s="67" t="s">
        <v>144</v>
      </c>
      <c r="B11" s="61"/>
      <c r="C11" s="61"/>
      <c r="D11" s="61"/>
      <c r="E11" s="61"/>
      <c r="F11" s="61"/>
      <c r="G11" s="61"/>
      <c r="H11" s="61"/>
      <c r="I11" s="61"/>
      <c r="J11" s="61"/>
      <c r="K11">
        <v>1</v>
      </c>
      <c r="M11" s="51"/>
      <c r="N11" s="51"/>
      <c r="O11" s="51"/>
      <c r="S11" s="50" t="s">
        <v>159</v>
      </c>
      <c r="T11" s="49" t="s">
        <v>128</v>
      </c>
    </row>
    <row r="12" spans="1:20" x14ac:dyDescent="0.25">
      <c r="A12" s="69" t="s">
        <v>14</v>
      </c>
      <c r="B12" s="61"/>
      <c r="C12" s="61"/>
      <c r="D12" s="61"/>
      <c r="E12" s="61"/>
      <c r="F12" s="61"/>
      <c r="G12" s="61"/>
      <c r="H12" s="61"/>
      <c r="I12" s="61"/>
      <c r="J12" s="61"/>
      <c r="K12" s="9">
        <v>1</v>
      </c>
      <c r="L12" t="s">
        <v>15</v>
      </c>
      <c r="M12" s="51">
        <v>2.5</v>
      </c>
      <c r="N12" s="55" t="s">
        <v>157</v>
      </c>
      <c r="O12" s="51"/>
      <c r="S12" s="50" t="s">
        <v>159</v>
      </c>
      <c r="T12" s="49" t="s">
        <v>129</v>
      </c>
    </row>
    <row r="13" spans="1:20" ht="14.45" customHeight="1" x14ac:dyDescent="0.25">
      <c r="A13" s="69" t="s">
        <v>143</v>
      </c>
      <c r="B13" s="61"/>
      <c r="C13" s="61"/>
      <c r="D13" s="61"/>
      <c r="E13" s="61"/>
      <c r="F13" s="61"/>
      <c r="G13" s="61"/>
      <c r="H13" s="61"/>
      <c r="I13" s="61"/>
      <c r="J13" s="61"/>
      <c r="K13" s="9">
        <v>0</v>
      </c>
      <c r="M13" s="51"/>
      <c r="N13" s="51"/>
      <c r="O13" s="51"/>
      <c r="S13" s="48" t="s">
        <v>124</v>
      </c>
      <c r="T13" s="49"/>
    </row>
    <row r="14" spans="1:20" ht="14.45" customHeight="1" x14ac:dyDescent="0.25">
      <c r="A14" s="69" t="s">
        <v>147</v>
      </c>
      <c r="B14" s="61"/>
      <c r="C14" s="61"/>
      <c r="D14" s="61"/>
      <c r="E14" s="61"/>
      <c r="F14" s="61"/>
      <c r="G14" s="61"/>
      <c r="H14" s="61"/>
      <c r="I14" s="61"/>
      <c r="J14" s="61"/>
      <c r="K14" s="9">
        <v>1</v>
      </c>
      <c r="M14" s="51"/>
      <c r="N14" s="51"/>
      <c r="O14" s="51"/>
      <c r="S14" s="50" t="s">
        <v>119</v>
      </c>
      <c r="T14" s="49" t="s">
        <v>125</v>
      </c>
    </row>
    <row r="15" spans="1:20" x14ac:dyDescent="0.25">
      <c r="A15" s="64" t="s">
        <v>16</v>
      </c>
      <c r="B15" s="61"/>
      <c r="C15" s="61"/>
      <c r="D15" s="61"/>
      <c r="E15" s="61"/>
      <c r="F15" s="61"/>
      <c r="G15" s="61"/>
      <c r="H15" s="61"/>
      <c r="I15" s="61"/>
      <c r="J15" s="61"/>
      <c r="K15" s="1" t="s">
        <v>17</v>
      </c>
      <c r="M15" s="4" t="s">
        <v>18</v>
      </c>
      <c r="N15" s="4">
        <f>SUM($K$17:$K$26)</f>
        <v>10</v>
      </c>
      <c r="O15" s="4">
        <v>10</v>
      </c>
    </row>
    <row r="16" spans="1:20" x14ac:dyDescent="0.25">
      <c r="A16" s="65" t="s">
        <v>19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M16" s="4"/>
      <c r="N16" s="4"/>
      <c r="O16" s="4"/>
    </row>
    <row r="17" spans="1:20" x14ac:dyDescent="0.25">
      <c r="A17" s="63" t="s">
        <v>135</v>
      </c>
      <c r="B17" s="61"/>
      <c r="C17" s="61"/>
      <c r="D17" s="61"/>
      <c r="E17" s="61"/>
      <c r="F17" s="61"/>
      <c r="G17" s="61"/>
      <c r="H17" s="61"/>
      <c r="I17" s="61"/>
      <c r="J17" s="61"/>
      <c r="K17">
        <v>1</v>
      </c>
      <c r="M17" s="51" t="s">
        <v>165</v>
      </c>
      <c r="N17" s="51"/>
      <c r="O17" s="51"/>
    </row>
    <row r="18" spans="1:20" x14ac:dyDescent="0.25">
      <c r="A18" s="63" t="s">
        <v>101</v>
      </c>
      <c r="B18" s="61"/>
      <c r="C18" s="61"/>
      <c r="D18" s="61"/>
      <c r="E18" s="61"/>
      <c r="F18" s="61"/>
      <c r="G18" s="61"/>
      <c r="H18" s="61"/>
      <c r="I18" s="61"/>
      <c r="J18" s="61"/>
      <c r="K18">
        <v>1</v>
      </c>
      <c r="L18" s="30"/>
      <c r="M18" s="51" t="s">
        <v>164</v>
      </c>
      <c r="N18" s="52"/>
      <c r="O18" s="52"/>
      <c r="P18" s="30"/>
      <c r="Q18" s="30"/>
      <c r="R18" s="30"/>
      <c r="S18" s="30"/>
      <c r="T18" s="30"/>
    </row>
    <row r="19" spans="1:20" x14ac:dyDescent="0.25">
      <c r="A19" s="63" t="s">
        <v>136</v>
      </c>
      <c r="B19" s="61"/>
      <c r="C19" s="61"/>
      <c r="D19" s="61"/>
      <c r="E19" s="61"/>
      <c r="F19" s="61"/>
      <c r="G19" s="61"/>
      <c r="H19" s="61"/>
      <c r="I19" s="61"/>
      <c r="J19" s="61"/>
      <c r="K19">
        <v>1</v>
      </c>
      <c r="M19" s="51"/>
      <c r="N19" s="51"/>
      <c r="O19" s="51"/>
    </row>
    <row r="20" spans="1:20" x14ac:dyDescent="0.25">
      <c r="A20" s="63" t="s">
        <v>137</v>
      </c>
      <c r="B20" s="61"/>
      <c r="C20" s="61"/>
      <c r="D20" s="61"/>
      <c r="E20" s="61"/>
      <c r="F20" s="61"/>
      <c r="G20" s="61"/>
      <c r="H20" s="61"/>
      <c r="I20" s="61"/>
      <c r="J20" s="61"/>
      <c r="K20">
        <v>1</v>
      </c>
      <c r="M20" s="51"/>
      <c r="N20" s="51"/>
      <c r="O20" s="51"/>
    </row>
    <row r="21" spans="1:20" ht="16.5" customHeight="1" x14ac:dyDescent="0.25">
      <c r="A21" s="63" t="s">
        <v>138</v>
      </c>
      <c r="B21" s="61"/>
      <c r="C21" s="61"/>
      <c r="D21" s="61"/>
      <c r="E21" s="61"/>
      <c r="F21" s="61"/>
      <c r="G21" s="61"/>
      <c r="H21" s="61"/>
      <c r="I21" s="61"/>
      <c r="J21" s="61"/>
      <c r="K21">
        <v>1</v>
      </c>
      <c r="M21" s="51"/>
      <c r="N21" s="51"/>
      <c r="O21" s="51"/>
    </row>
    <row r="22" spans="1:20" x14ac:dyDescent="0.25">
      <c r="A22" s="70" t="s">
        <v>139</v>
      </c>
      <c r="B22" s="61"/>
      <c r="C22" s="61"/>
      <c r="D22" s="61"/>
      <c r="E22" s="61"/>
      <c r="F22" s="61"/>
      <c r="G22" s="61"/>
      <c r="H22" s="61"/>
      <c r="I22" s="61"/>
      <c r="J22" s="61"/>
      <c r="K22">
        <v>1</v>
      </c>
      <c r="M22" s="51"/>
      <c r="N22" s="51"/>
      <c r="O22" s="51"/>
    </row>
    <row r="23" spans="1:20" ht="30" customHeight="1" x14ac:dyDescent="0.25">
      <c r="A23" s="63" t="s">
        <v>111</v>
      </c>
      <c r="B23" s="61"/>
      <c r="C23" s="61"/>
      <c r="D23" s="61"/>
      <c r="E23" s="61"/>
      <c r="F23" s="61"/>
      <c r="G23" s="61"/>
      <c r="H23" s="61"/>
      <c r="I23" s="61"/>
      <c r="J23" s="61"/>
      <c r="K23">
        <v>1</v>
      </c>
      <c r="M23" s="59"/>
      <c r="N23" s="51"/>
      <c r="O23" s="51"/>
    </row>
    <row r="24" spans="1:20" ht="19.149999999999999" customHeight="1" x14ac:dyDescent="0.25">
      <c r="A24" s="63" t="s">
        <v>140</v>
      </c>
      <c r="B24" s="61"/>
      <c r="C24" s="61"/>
      <c r="D24" s="61"/>
      <c r="E24" s="61"/>
      <c r="F24" s="61"/>
      <c r="G24" s="61"/>
      <c r="H24" s="61"/>
      <c r="I24" s="61"/>
      <c r="J24" s="61"/>
      <c r="K24">
        <v>1</v>
      </c>
      <c r="M24" s="59" t="s">
        <v>167</v>
      </c>
      <c r="N24" s="51"/>
      <c r="O24" s="51"/>
    </row>
    <row r="25" spans="1:20" ht="31.5" customHeight="1" x14ac:dyDescent="0.25">
      <c r="A25" s="63" t="s">
        <v>114</v>
      </c>
      <c r="B25" s="61"/>
      <c r="C25" s="61"/>
      <c r="D25" s="61"/>
      <c r="E25" s="61"/>
      <c r="F25" s="61"/>
      <c r="G25" s="61"/>
      <c r="H25" s="61"/>
      <c r="I25" s="61"/>
      <c r="J25" s="61"/>
      <c r="K25">
        <v>1</v>
      </c>
      <c r="M25" s="51"/>
      <c r="N25" s="51"/>
      <c r="O25" s="51"/>
    </row>
    <row r="26" spans="1:20" ht="30.6" customHeight="1" x14ac:dyDescent="0.25">
      <c r="A26" s="63" t="s">
        <v>154</v>
      </c>
      <c r="B26" s="61"/>
      <c r="C26" s="61"/>
      <c r="D26" s="61"/>
      <c r="E26" s="61"/>
      <c r="F26" s="61"/>
      <c r="G26" s="61"/>
      <c r="H26" s="61"/>
      <c r="I26" s="61"/>
      <c r="J26" s="61"/>
      <c r="K26">
        <v>1</v>
      </c>
      <c r="M26" s="51"/>
      <c r="N26" s="51"/>
      <c r="O26" s="51"/>
    </row>
    <row r="27" spans="1:20" x14ac:dyDescent="0.25">
      <c r="A27" s="64" t="s">
        <v>24</v>
      </c>
      <c r="B27" s="61"/>
      <c r="C27" s="61"/>
      <c r="D27" s="61"/>
      <c r="E27" s="61"/>
      <c r="F27" s="61"/>
      <c r="G27" s="61"/>
      <c r="H27" s="61"/>
      <c r="I27" s="61"/>
      <c r="J27" s="61"/>
      <c r="K27" s="1"/>
      <c r="M27" s="4" t="s">
        <v>25</v>
      </c>
      <c r="N27" s="4">
        <f>SUM($K$29:$K$31)</f>
        <v>3</v>
      </c>
      <c r="O27" s="5">
        <v>3</v>
      </c>
    </row>
    <row r="28" spans="1:20" x14ac:dyDescent="0.25">
      <c r="A28" s="65" t="s">
        <v>19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M28" s="4"/>
      <c r="N28" s="4"/>
      <c r="O28" s="4"/>
    </row>
    <row r="29" spans="1:20" ht="31.15" customHeight="1" x14ac:dyDescent="0.25">
      <c r="A29" s="63" t="s">
        <v>105</v>
      </c>
      <c r="B29" s="61"/>
      <c r="C29" s="61"/>
      <c r="D29" s="61"/>
      <c r="E29" s="61"/>
      <c r="F29" s="61"/>
      <c r="G29" s="61"/>
      <c r="H29" s="61"/>
      <c r="I29" s="61"/>
      <c r="J29" s="61"/>
      <c r="K29">
        <v>1</v>
      </c>
      <c r="M29" s="52"/>
      <c r="N29" s="51"/>
      <c r="O29" s="51"/>
    </row>
    <row r="30" spans="1:20" x14ac:dyDescent="0.25">
      <c r="A30" s="63" t="s">
        <v>106</v>
      </c>
      <c r="B30" s="61"/>
      <c r="C30" s="61"/>
      <c r="D30" s="61"/>
      <c r="E30" s="61"/>
      <c r="F30" s="61"/>
      <c r="G30" s="61"/>
      <c r="H30" s="61"/>
      <c r="I30" s="61"/>
      <c r="J30" s="61"/>
      <c r="K30">
        <v>1</v>
      </c>
      <c r="M30" s="51"/>
      <c r="N30" s="51"/>
      <c r="O30" s="51"/>
    </row>
    <row r="31" spans="1:20" x14ac:dyDescent="0.25">
      <c r="A31" s="63" t="s">
        <v>134</v>
      </c>
      <c r="B31" s="61"/>
      <c r="C31" s="61"/>
      <c r="D31" s="61"/>
      <c r="E31" s="61"/>
      <c r="F31" s="61"/>
      <c r="G31" s="61"/>
      <c r="H31" s="61"/>
      <c r="I31" s="61"/>
      <c r="J31" s="61"/>
      <c r="K31">
        <v>1</v>
      </c>
      <c r="M31" s="51"/>
      <c r="N31" s="51"/>
      <c r="O31" s="51"/>
    </row>
    <row r="32" spans="1:20" x14ac:dyDescent="0.25">
      <c r="A32" s="64" t="s">
        <v>26</v>
      </c>
      <c r="B32" s="61"/>
      <c r="C32" s="61"/>
      <c r="D32" s="61"/>
      <c r="E32" s="61"/>
      <c r="F32" s="61"/>
      <c r="G32" s="61"/>
      <c r="H32" s="61"/>
      <c r="I32" s="61"/>
      <c r="J32" s="61"/>
      <c r="K32" s="1"/>
      <c r="M32" s="4" t="s">
        <v>27</v>
      </c>
      <c r="N32" s="4">
        <f>SUM($K$34:$K36)</f>
        <v>3</v>
      </c>
      <c r="O32" s="5">
        <v>3</v>
      </c>
    </row>
    <row r="33" spans="1:15" x14ac:dyDescent="0.25">
      <c r="A33" s="65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M33" s="4"/>
      <c r="N33" s="4"/>
      <c r="O33" s="4"/>
    </row>
    <row r="34" spans="1:15" ht="30" customHeight="1" x14ac:dyDescent="0.25">
      <c r="A34" s="63" t="s">
        <v>133</v>
      </c>
      <c r="B34" s="61"/>
      <c r="C34" s="61"/>
      <c r="D34" s="61"/>
      <c r="E34" s="61"/>
      <c r="F34" s="61"/>
      <c r="G34" s="61"/>
      <c r="H34" s="61"/>
      <c r="I34" s="61"/>
      <c r="J34" s="61"/>
      <c r="K34">
        <v>1</v>
      </c>
      <c r="M34" s="51"/>
      <c r="N34" s="51"/>
      <c r="O34" s="51"/>
    </row>
    <row r="35" spans="1:15" x14ac:dyDescent="0.25">
      <c r="A35" s="67" t="s">
        <v>29</v>
      </c>
      <c r="B35" s="61"/>
      <c r="C35" s="61"/>
      <c r="D35" s="61"/>
      <c r="E35" s="61"/>
      <c r="F35" s="61"/>
      <c r="G35" s="61"/>
      <c r="H35" s="61"/>
      <c r="I35" s="61"/>
      <c r="J35" s="61"/>
      <c r="K35">
        <v>1</v>
      </c>
      <c r="M35" s="51"/>
      <c r="N35" s="51"/>
      <c r="O35" s="51"/>
    </row>
    <row r="36" spans="1:15" x14ac:dyDescent="0.25">
      <c r="A36" s="67" t="s">
        <v>30</v>
      </c>
      <c r="B36" s="61"/>
      <c r="C36" s="61"/>
      <c r="D36" s="61"/>
      <c r="E36" s="61"/>
      <c r="F36" s="61"/>
      <c r="G36" s="61"/>
      <c r="H36" s="61"/>
      <c r="I36" s="61"/>
      <c r="J36" s="61"/>
      <c r="K36">
        <v>1</v>
      </c>
      <c r="M36" s="59" t="s">
        <v>169</v>
      </c>
      <c r="N36" s="51"/>
      <c r="O36" s="51"/>
    </row>
    <row r="37" spans="1:15" x14ac:dyDescent="0.25">
      <c r="A37" s="47"/>
      <c r="M37" s="59" t="s">
        <v>170</v>
      </c>
      <c r="N37" s="51"/>
      <c r="O37" s="51"/>
    </row>
    <row r="38" spans="1:15" x14ac:dyDescent="0.25">
      <c r="A38" s="47"/>
      <c r="M38" s="59" t="s">
        <v>171</v>
      </c>
      <c r="N38" s="51"/>
      <c r="O38" s="51"/>
    </row>
    <row r="39" spans="1:15" x14ac:dyDescent="0.25">
      <c r="A39" s="47"/>
      <c r="M39" s="59" t="s">
        <v>172</v>
      </c>
      <c r="N39" s="51"/>
      <c r="O39" s="51"/>
    </row>
    <row r="40" spans="1:15" x14ac:dyDescent="0.25">
      <c r="A40" s="64" t="s">
        <v>31</v>
      </c>
      <c r="B40" s="61"/>
      <c r="C40" s="61"/>
      <c r="D40" s="61"/>
      <c r="E40" s="61"/>
      <c r="F40" s="61"/>
      <c r="G40" s="61"/>
      <c r="H40" s="61"/>
      <c r="I40" s="61"/>
      <c r="J40" s="61"/>
      <c r="K40" s="1"/>
      <c r="M40" s="4" t="s">
        <v>32</v>
      </c>
      <c r="N40" s="4">
        <f>SUM($K$42:$K44)</f>
        <v>2</v>
      </c>
      <c r="O40" s="5">
        <v>2</v>
      </c>
    </row>
    <row r="41" spans="1:15" x14ac:dyDescent="0.25">
      <c r="A41" s="65" t="s">
        <v>19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M41" s="4"/>
      <c r="N41" s="4"/>
      <c r="O41" s="4"/>
    </row>
    <row r="42" spans="1:15" x14ac:dyDescent="0.25">
      <c r="A42" s="63"/>
      <c r="B42" s="61"/>
      <c r="C42" s="61"/>
      <c r="D42" s="61"/>
      <c r="E42" s="61"/>
      <c r="F42" s="61"/>
      <c r="G42" s="61"/>
      <c r="H42" s="61"/>
      <c r="I42" s="61"/>
      <c r="J42" s="61"/>
      <c r="M42" s="59" t="s">
        <v>174</v>
      </c>
      <c r="N42" s="51"/>
      <c r="O42" s="51"/>
    </row>
    <row r="43" spans="1:15" x14ac:dyDescent="0.25">
      <c r="A43" s="63" t="s">
        <v>33</v>
      </c>
      <c r="B43" s="61"/>
      <c r="C43" s="61"/>
      <c r="D43" s="61"/>
      <c r="E43" s="61"/>
      <c r="F43" s="61"/>
      <c r="G43" s="61"/>
      <c r="H43" s="61"/>
      <c r="I43" s="61"/>
      <c r="J43" s="61"/>
      <c r="K43">
        <v>1</v>
      </c>
      <c r="M43" s="51" t="s">
        <v>175</v>
      </c>
      <c r="N43" s="51"/>
      <c r="O43" s="51"/>
    </row>
    <row r="44" spans="1:15" ht="14.45" customHeight="1" x14ac:dyDescent="0.25">
      <c r="A44" s="63" t="s">
        <v>34</v>
      </c>
      <c r="B44" s="61"/>
      <c r="C44" s="61"/>
      <c r="D44" s="61"/>
      <c r="E44" s="61"/>
      <c r="F44" s="61"/>
      <c r="G44" s="61"/>
      <c r="H44" s="61"/>
      <c r="I44" s="61"/>
      <c r="J44" s="61"/>
      <c r="K44">
        <v>1</v>
      </c>
      <c r="M44" s="51" t="s">
        <v>173</v>
      </c>
      <c r="N44" s="51"/>
      <c r="O44" s="51"/>
    </row>
    <row r="45" spans="1:15" x14ac:dyDescent="0.25">
      <c r="A45" s="73" t="s">
        <v>35</v>
      </c>
      <c r="B45" s="61"/>
      <c r="C45" s="61"/>
      <c r="D45" s="61"/>
      <c r="E45" s="61"/>
      <c r="F45" s="61"/>
      <c r="G45" s="61"/>
      <c r="H45" s="61"/>
      <c r="I45" s="61"/>
      <c r="J45" s="61"/>
      <c r="K45" s="3"/>
      <c r="M45" s="4" t="s">
        <v>36</v>
      </c>
      <c r="N45" s="4">
        <f>IF(SUM($N$3:$Q$3)&gt;3,SUM($K$47:$K55),0)</f>
        <v>0</v>
      </c>
      <c r="O45" s="5">
        <v>9</v>
      </c>
    </row>
    <row r="46" spans="1:15" x14ac:dyDescent="0.25">
      <c r="A46" s="72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M46" s="4"/>
      <c r="N46" s="4"/>
      <c r="O46" s="4"/>
    </row>
    <row r="47" spans="1:15" x14ac:dyDescent="0.25">
      <c r="A47" s="60" t="s">
        <v>109</v>
      </c>
      <c r="B47" s="61"/>
      <c r="C47" s="61"/>
      <c r="D47" s="61"/>
      <c r="E47" s="61"/>
      <c r="F47" s="61"/>
      <c r="G47" s="61"/>
      <c r="H47" s="61"/>
      <c r="I47" s="61"/>
      <c r="J47" s="61"/>
      <c r="K47">
        <v>1</v>
      </c>
      <c r="M47" s="51"/>
      <c r="N47" s="51"/>
      <c r="O47" s="51"/>
    </row>
    <row r="48" spans="1:15" x14ac:dyDescent="0.25">
      <c r="A48" s="60" t="s">
        <v>113</v>
      </c>
      <c r="B48" s="61"/>
      <c r="C48" s="61"/>
      <c r="D48" s="61"/>
      <c r="E48" s="61"/>
      <c r="F48" s="61"/>
      <c r="G48" s="61"/>
      <c r="H48" s="61"/>
      <c r="I48" s="61"/>
      <c r="J48" s="61"/>
      <c r="K48">
        <v>1</v>
      </c>
      <c r="M48" s="51"/>
      <c r="N48" s="51"/>
      <c r="O48" s="51"/>
    </row>
    <row r="49" spans="1:23" x14ac:dyDescent="0.25">
      <c r="A49" s="60" t="s">
        <v>112</v>
      </c>
      <c r="B49" s="61"/>
      <c r="C49" s="61"/>
      <c r="D49" s="61"/>
      <c r="E49" s="61"/>
      <c r="F49" s="61"/>
      <c r="G49" s="61"/>
      <c r="H49" s="61"/>
      <c r="I49" s="61"/>
      <c r="J49" s="61"/>
      <c r="K49">
        <v>1</v>
      </c>
      <c r="M49" s="51"/>
      <c r="N49" s="51"/>
      <c r="O49" s="51"/>
    </row>
    <row r="50" spans="1:23" x14ac:dyDescent="0.25">
      <c r="A50" s="60" t="s">
        <v>110</v>
      </c>
      <c r="B50" s="61"/>
      <c r="C50" s="61"/>
      <c r="D50" s="61"/>
      <c r="E50" s="61"/>
      <c r="F50" s="61"/>
      <c r="G50" s="61"/>
      <c r="H50" s="61"/>
      <c r="I50" s="61"/>
      <c r="J50" s="61"/>
      <c r="K50">
        <v>1</v>
      </c>
      <c r="M50" s="51"/>
      <c r="N50" s="51"/>
      <c r="O50" s="51"/>
    </row>
    <row r="51" spans="1:23" x14ac:dyDescent="0.25">
      <c r="A51" s="67" t="s">
        <v>132</v>
      </c>
      <c r="B51" s="61"/>
      <c r="C51" s="61"/>
      <c r="D51" s="61"/>
      <c r="E51" s="61"/>
      <c r="F51" s="61"/>
      <c r="G51" s="61"/>
      <c r="H51" s="61"/>
      <c r="I51" s="61"/>
      <c r="J51" s="61"/>
      <c r="K51">
        <v>1</v>
      </c>
      <c r="M51" s="51"/>
      <c r="N51" s="51"/>
      <c r="O51" s="51"/>
    </row>
    <row r="52" spans="1:23" x14ac:dyDescent="0.25">
      <c r="A52" s="67" t="s">
        <v>108</v>
      </c>
      <c r="B52" s="61"/>
      <c r="C52" s="61"/>
      <c r="D52" s="61"/>
      <c r="E52" s="61"/>
      <c r="F52" s="61"/>
      <c r="G52" s="61"/>
      <c r="H52" s="61"/>
      <c r="I52" s="61"/>
      <c r="J52" s="61"/>
      <c r="K52">
        <v>1</v>
      </c>
      <c r="M52" s="51"/>
      <c r="N52" s="51"/>
      <c r="O52" s="51"/>
    </row>
    <row r="53" spans="1:23" ht="28.5" customHeight="1" x14ac:dyDescent="0.25">
      <c r="A53" s="67" t="s">
        <v>117</v>
      </c>
      <c r="B53" s="61"/>
      <c r="C53" s="61"/>
      <c r="D53" s="61"/>
      <c r="E53" s="61"/>
      <c r="F53" s="61"/>
      <c r="G53" s="61"/>
      <c r="H53" s="61"/>
      <c r="I53" s="61"/>
      <c r="J53" s="61"/>
      <c r="K53">
        <v>1</v>
      </c>
      <c r="M53" s="51"/>
      <c r="N53" s="51"/>
      <c r="O53" s="51"/>
    </row>
    <row r="54" spans="1:23" ht="27.75" customHeight="1" x14ac:dyDescent="0.25">
      <c r="A54" s="67" t="s">
        <v>131</v>
      </c>
      <c r="B54" s="61"/>
      <c r="C54" s="61"/>
      <c r="D54" s="61"/>
      <c r="E54" s="61"/>
      <c r="F54" s="61"/>
      <c r="G54" s="61"/>
      <c r="H54" s="61"/>
      <c r="I54" s="61"/>
      <c r="J54" s="61"/>
      <c r="K54">
        <v>1</v>
      </c>
      <c r="M54" s="51"/>
      <c r="N54" s="51"/>
      <c r="O54" s="51"/>
    </row>
    <row r="55" spans="1:23" ht="28.5" customHeight="1" x14ac:dyDescent="0.25">
      <c r="A55" s="67" t="s">
        <v>130</v>
      </c>
      <c r="B55" s="61"/>
      <c r="C55" s="61"/>
      <c r="D55" s="61"/>
      <c r="E55" s="61"/>
      <c r="F55" s="61"/>
      <c r="G55" s="61"/>
      <c r="H55" s="61"/>
      <c r="I55" s="61"/>
      <c r="J55" s="61"/>
      <c r="K55">
        <v>1</v>
      </c>
      <c r="M55" s="51"/>
      <c r="N55" s="51"/>
      <c r="O55" s="51"/>
    </row>
    <row r="57" spans="1:23" x14ac:dyDescent="0.25">
      <c r="A57" s="53" t="s">
        <v>141</v>
      </c>
    </row>
    <row r="58" spans="1:23" x14ac:dyDescent="0.25">
      <c r="A58" s="57" t="s">
        <v>166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</row>
    <row r="59" spans="1:23" x14ac:dyDescent="0.25">
      <c r="A59" s="56" t="s">
        <v>158</v>
      </c>
    </row>
    <row r="60" spans="1:23" x14ac:dyDescent="0.25">
      <c r="A60" s="56" t="s">
        <v>160</v>
      </c>
    </row>
    <row r="61" spans="1:23" x14ac:dyDescent="0.25">
      <c r="A61" s="54" t="s">
        <v>162</v>
      </c>
    </row>
    <row r="62" spans="1:23" x14ac:dyDescent="0.25">
      <c r="A62" s="54" t="s">
        <v>161</v>
      </c>
    </row>
    <row r="63" spans="1:23" x14ac:dyDescent="0.25">
      <c r="A63" s="54" t="s">
        <v>163</v>
      </c>
    </row>
    <row r="64" spans="1:23" x14ac:dyDescent="0.25">
      <c r="A64" s="56" t="s">
        <v>168</v>
      </c>
    </row>
    <row r="65" spans="1:1" x14ac:dyDescent="0.25">
      <c r="A65" s="54"/>
    </row>
    <row r="66" spans="1:1" x14ac:dyDescent="0.25">
      <c r="A66" s="54"/>
    </row>
    <row r="67" spans="1:1" x14ac:dyDescent="0.25">
      <c r="A67" s="54"/>
    </row>
    <row r="68" spans="1:1" x14ac:dyDescent="0.25">
      <c r="A68" s="54"/>
    </row>
    <row r="69" spans="1:1" x14ac:dyDescent="0.25">
      <c r="A69" s="54"/>
    </row>
    <row r="70" spans="1:1" x14ac:dyDescent="0.25">
      <c r="A70" s="54"/>
    </row>
    <row r="71" spans="1:1" x14ac:dyDescent="0.25">
      <c r="A71" s="54"/>
    </row>
    <row r="72" spans="1:1" x14ac:dyDescent="0.25">
      <c r="A72" s="54"/>
    </row>
    <row r="73" spans="1:1" x14ac:dyDescent="0.25">
      <c r="A73" s="54"/>
    </row>
    <row r="74" spans="1:1" x14ac:dyDescent="0.25">
      <c r="A74" s="54"/>
    </row>
    <row r="75" spans="1:1" x14ac:dyDescent="0.25">
      <c r="A75" s="54"/>
    </row>
    <row r="76" spans="1:1" x14ac:dyDescent="0.25">
      <c r="A76" s="54"/>
    </row>
    <row r="77" spans="1:1" x14ac:dyDescent="0.25">
      <c r="A77" s="54"/>
    </row>
  </sheetData>
  <mergeCells count="52">
    <mergeCell ref="M3:M4"/>
    <mergeCell ref="A42:J42"/>
    <mergeCell ref="A33:K33"/>
    <mergeCell ref="A7:J7"/>
    <mergeCell ref="A25:J25"/>
    <mergeCell ref="A40:J40"/>
    <mergeCell ref="A18:J18"/>
    <mergeCell ref="A27:J27"/>
    <mergeCell ref="A41:K41"/>
    <mergeCell ref="A21:J21"/>
    <mergeCell ref="A12:J12"/>
    <mergeCell ref="A28:K28"/>
    <mergeCell ref="A26:J26"/>
    <mergeCell ref="A52:J52"/>
    <mergeCell ref="A24:J24"/>
    <mergeCell ref="A3:B3"/>
    <mergeCell ref="A53:J53"/>
    <mergeCell ref="A55:J55"/>
    <mergeCell ref="A11:J11"/>
    <mergeCell ref="A49:J49"/>
    <mergeCell ref="A46:K46"/>
    <mergeCell ref="A45:J45"/>
    <mergeCell ref="A50:J50"/>
    <mergeCell ref="A54:J54"/>
    <mergeCell ref="A6:K6"/>
    <mergeCell ref="A31:J31"/>
    <mergeCell ref="A44:J44"/>
    <mergeCell ref="A9:J9"/>
    <mergeCell ref="A30:J30"/>
    <mergeCell ref="A51:J51"/>
    <mergeCell ref="A5:J5"/>
    <mergeCell ref="A23:J23"/>
    <mergeCell ref="A32:J32"/>
    <mergeCell ref="A8:J8"/>
    <mergeCell ref="A14:J14"/>
    <mergeCell ref="A22:J22"/>
    <mergeCell ref="A17:J17"/>
    <mergeCell ref="A29:J29"/>
    <mergeCell ref="A35:J35"/>
    <mergeCell ref="A47:J47"/>
    <mergeCell ref="A20:J20"/>
    <mergeCell ref="A10:J10"/>
    <mergeCell ref="A36:J36"/>
    <mergeCell ref="A19:J19"/>
    <mergeCell ref="A13:J13"/>
    <mergeCell ref="A48:J48"/>
    <mergeCell ref="K1:L1"/>
    <mergeCell ref="A34:J34"/>
    <mergeCell ref="A15:J15"/>
    <mergeCell ref="A16:K16"/>
    <mergeCell ref="A1:J1"/>
    <mergeCell ref="A43:J43"/>
  </mergeCells>
  <conditionalFormatting sqref="S4:S14">
    <cfRule type="cellIs" dxfId="6" priority="1" operator="equal">
      <formula>"!"</formula>
    </cfRule>
    <cfRule type="cellIs" dxfId="5" priority="2" operator="equal">
      <formula>"X"</formula>
    </cfRule>
    <cfRule type="cellIs" dxfId="4" priority="3" operator="equal">
      <formula>"V"</formula>
    </cfRule>
  </conditionalFormatting>
  <pageMargins left="0.7" right="0.7" top="0.75" bottom="0.75" header="0.3" footer="0.3"/>
  <pageSetup paperSize="9" orientation="portrait" horizontalDpi="429496729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7"/>
  <sheetViews>
    <sheetView topLeftCell="A31" workbookViewId="0">
      <selection sqref="A1:J1"/>
    </sheetView>
  </sheetViews>
  <sheetFormatPr baseColWidth="10" defaultColWidth="11.42578125" defaultRowHeight="15" x14ac:dyDescent="0.25"/>
  <cols>
    <col min="1" max="12" width="9.28515625" customWidth="1"/>
    <col min="13" max="13" width="18.28515625" customWidth="1"/>
    <col min="14" max="17" width="5.5703125" customWidth="1"/>
    <col min="18" max="29" width="9.28515625" customWidth="1"/>
  </cols>
  <sheetData>
    <row r="1" spans="1:17" ht="21" customHeight="1" x14ac:dyDescent="0.35">
      <c r="A1" s="66" t="s">
        <v>39</v>
      </c>
      <c r="B1" s="61"/>
      <c r="C1" s="61"/>
      <c r="D1" s="61"/>
      <c r="E1" s="61"/>
      <c r="F1" s="61"/>
      <c r="G1" s="61"/>
      <c r="H1" s="61"/>
      <c r="I1" s="61"/>
      <c r="J1" s="61"/>
      <c r="K1" s="62"/>
      <c r="L1" s="62"/>
    </row>
    <row r="2" spans="1:17" x14ac:dyDescent="0.25">
      <c r="M2" s="1" t="s">
        <v>1</v>
      </c>
      <c r="N2" s="1">
        <v>1</v>
      </c>
      <c r="O2" s="1">
        <v>2</v>
      </c>
      <c r="P2" s="1">
        <v>3</v>
      </c>
      <c r="Q2" s="1">
        <v>4</v>
      </c>
    </row>
    <row r="3" spans="1:17" ht="14.45" customHeight="1" x14ac:dyDescent="0.25">
      <c r="A3" s="71" t="s">
        <v>2</v>
      </c>
      <c r="B3" s="61"/>
      <c r="C3" t="str">
        <f>'Eval 1'!C3</f>
        <v>Thomas Hausmann</v>
      </c>
      <c r="M3" s="76" t="s">
        <v>3</v>
      </c>
      <c r="N3">
        <f>IF(OR(AND($O$5=($N$5+1),$K$10=0),$N$5=$O$5),TRUNC($N$15/$O$15),0)</f>
        <v>1</v>
      </c>
      <c r="O3">
        <f>IF(OR(AND($O$5=($N$5+1),$K$10=0),$N$5=$O$5),TRUNC($N$27/$O$27),0)</f>
        <v>1</v>
      </c>
      <c r="P3">
        <f>IF(OR(AND($O$5=($N$5+1),$K$10=0),$N$5=$O$5),TRUNC($N$32/$O$32),0)</f>
        <v>1</v>
      </c>
      <c r="Q3">
        <f>IF(OR(AND($O$5=($N$5+1),$K$10=0),$N$5=$O$5),TRUNC($N$37/$O$37),0)</f>
        <v>1</v>
      </c>
    </row>
    <row r="4" spans="1:17" ht="14.45" customHeight="1" x14ac:dyDescent="0.25">
      <c r="M4" s="61"/>
    </row>
    <row r="5" spans="1:17" ht="45" customHeight="1" x14ac:dyDescent="0.25">
      <c r="A5" s="68" t="s">
        <v>4</v>
      </c>
      <c r="B5" s="61"/>
      <c r="C5" s="61"/>
      <c r="D5" s="61"/>
      <c r="E5" s="61"/>
      <c r="F5" s="61"/>
      <c r="G5" s="61"/>
      <c r="H5" s="61"/>
      <c r="I5" s="61"/>
      <c r="J5" s="61"/>
      <c r="K5" s="6" t="s">
        <v>5</v>
      </c>
      <c r="M5" s="7" t="s">
        <v>6</v>
      </c>
      <c r="N5" s="7">
        <f>IF($M$12&lt;=2,SUM($K$7:$K$14), 0)</f>
        <v>8</v>
      </c>
      <c r="O5" s="7">
        <v>8</v>
      </c>
    </row>
    <row r="6" spans="1:17" x14ac:dyDescent="0.25">
      <c r="A6" s="74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1"/>
      <c r="M6" s="46"/>
    </row>
    <row r="7" spans="1:17" x14ac:dyDescent="0.25">
      <c r="A7" s="60" t="s">
        <v>8</v>
      </c>
      <c r="B7" s="61"/>
      <c r="C7" s="61"/>
      <c r="D7" s="61"/>
      <c r="E7" s="61"/>
      <c r="F7" s="61"/>
      <c r="G7" s="61"/>
      <c r="H7" s="61"/>
      <c r="I7" s="61"/>
      <c r="J7" s="61"/>
      <c r="K7">
        <v>1</v>
      </c>
      <c r="M7" s="51"/>
      <c r="N7" s="51"/>
      <c r="O7" s="51"/>
    </row>
    <row r="8" spans="1:17" ht="30" customHeight="1" x14ac:dyDescent="0.25">
      <c r="A8" s="67" t="s">
        <v>146</v>
      </c>
      <c r="B8" s="61"/>
      <c r="C8" s="61"/>
      <c r="D8" s="61"/>
      <c r="E8" s="61"/>
      <c r="F8" s="61"/>
      <c r="G8" s="61"/>
      <c r="H8" s="61"/>
      <c r="I8" s="61"/>
      <c r="J8" s="61"/>
      <c r="K8">
        <v>1</v>
      </c>
      <c r="M8" s="51"/>
      <c r="N8" s="51"/>
      <c r="O8" s="51"/>
    </row>
    <row r="9" spans="1:17" ht="29.25" customHeight="1" x14ac:dyDescent="0.25">
      <c r="A9" s="67" t="s">
        <v>145</v>
      </c>
      <c r="B9" s="61"/>
      <c r="C9" s="61"/>
      <c r="D9" s="61"/>
      <c r="E9" s="61"/>
      <c r="F9" s="61"/>
      <c r="G9" s="61"/>
      <c r="H9" s="61"/>
      <c r="I9" s="61"/>
      <c r="J9" s="61"/>
      <c r="K9">
        <v>1</v>
      </c>
      <c r="L9" t="s">
        <v>11</v>
      </c>
      <c r="M9" s="51">
        <v>0</v>
      </c>
      <c r="N9" s="51"/>
      <c r="O9" s="51"/>
    </row>
    <row r="10" spans="1:17" ht="28.5" customHeight="1" x14ac:dyDescent="0.25">
      <c r="A10" s="67" t="s">
        <v>142</v>
      </c>
      <c r="B10" s="61"/>
      <c r="C10" s="61"/>
      <c r="D10" s="61"/>
      <c r="E10" s="61"/>
      <c r="F10" s="61"/>
      <c r="G10" s="61"/>
      <c r="H10" s="61"/>
      <c r="I10" s="61"/>
      <c r="J10" s="61"/>
      <c r="K10">
        <v>1</v>
      </c>
      <c r="M10" s="51"/>
      <c r="N10" s="51"/>
      <c r="O10" s="51"/>
    </row>
    <row r="11" spans="1:17" x14ac:dyDescent="0.25">
      <c r="A11" s="67" t="s">
        <v>144</v>
      </c>
      <c r="B11" s="61"/>
      <c r="C11" s="61"/>
      <c r="D11" s="61"/>
      <c r="E11" s="61"/>
      <c r="F11" s="61"/>
      <c r="G11" s="61"/>
      <c r="H11" s="61"/>
      <c r="I11" s="61"/>
      <c r="J11" s="61"/>
      <c r="K11">
        <v>1</v>
      </c>
      <c r="M11" s="51"/>
      <c r="N11" s="51"/>
      <c r="O11" s="51"/>
    </row>
    <row r="12" spans="1:17" x14ac:dyDescent="0.25">
      <c r="A12" s="69" t="s">
        <v>148</v>
      </c>
      <c r="B12" s="61"/>
      <c r="C12" s="61"/>
      <c r="D12" s="61"/>
      <c r="E12" s="61"/>
      <c r="F12" s="61"/>
      <c r="G12" s="61"/>
      <c r="H12" s="61"/>
      <c r="I12" s="61"/>
      <c r="J12" s="61"/>
      <c r="K12" s="9">
        <v>1</v>
      </c>
      <c r="L12" t="s">
        <v>15</v>
      </c>
      <c r="M12" s="51">
        <v>0</v>
      </c>
      <c r="N12" s="51"/>
      <c r="O12" s="51"/>
    </row>
    <row r="13" spans="1:17" x14ac:dyDescent="0.25">
      <c r="A13" s="69" t="s">
        <v>149</v>
      </c>
      <c r="B13" s="61"/>
      <c r="C13" s="61"/>
      <c r="D13" s="61"/>
      <c r="E13" s="61"/>
      <c r="F13" s="61"/>
      <c r="G13" s="61"/>
      <c r="H13" s="61"/>
      <c r="I13" s="61"/>
      <c r="J13" s="61"/>
      <c r="K13" s="9">
        <v>1</v>
      </c>
      <c r="M13" s="51"/>
      <c r="N13" s="51"/>
      <c r="O13" s="51"/>
    </row>
    <row r="14" spans="1:17" x14ac:dyDescent="0.25">
      <c r="A14" s="69" t="s">
        <v>150</v>
      </c>
      <c r="B14" s="61"/>
      <c r="C14" s="61"/>
      <c r="D14" s="61"/>
      <c r="E14" s="61"/>
      <c r="F14" s="61"/>
      <c r="G14" s="61"/>
      <c r="H14" s="61"/>
      <c r="I14" s="61"/>
      <c r="J14" s="61"/>
      <c r="K14" s="9">
        <v>1</v>
      </c>
      <c r="M14" s="51"/>
      <c r="N14" s="51"/>
      <c r="O14" s="51"/>
    </row>
    <row r="15" spans="1:17" x14ac:dyDescent="0.25">
      <c r="A15" s="64" t="s">
        <v>16</v>
      </c>
      <c r="B15" s="61"/>
      <c r="C15" s="61"/>
      <c r="D15" s="61"/>
      <c r="E15" s="61"/>
      <c r="F15" s="61"/>
      <c r="G15" s="61"/>
      <c r="H15" s="61"/>
      <c r="I15" s="61"/>
      <c r="J15" s="61"/>
      <c r="K15" s="1" t="s">
        <v>17</v>
      </c>
      <c r="M15" s="4" t="s">
        <v>18</v>
      </c>
      <c r="N15" s="4">
        <f>SUM($K$17:$K$26)</f>
        <v>10</v>
      </c>
      <c r="O15" s="4">
        <v>10</v>
      </c>
    </row>
    <row r="16" spans="1:17" x14ac:dyDescent="0.25">
      <c r="A16" s="65" t="s">
        <v>19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M16" s="4"/>
      <c r="N16" s="4"/>
      <c r="O16" s="4"/>
    </row>
    <row r="17" spans="1:20" x14ac:dyDescent="0.25">
      <c r="A17" s="63" t="s">
        <v>135</v>
      </c>
      <c r="B17" s="61"/>
      <c r="C17" s="61"/>
      <c r="D17" s="61"/>
      <c r="E17" s="61"/>
      <c r="F17" s="61"/>
      <c r="G17" s="61"/>
      <c r="H17" s="61"/>
      <c r="I17" s="61"/>
      <c r="J17" s="61"/>
      <c r="K17">
        <v>1</v>
      </c>
      <c r="M17" s="51"/>
      <c r="N17" s="51"/>
      <c r="O17" s="51"/>
    </row>
    <row r="18" spans="1:20" x14ac:dyDescent="0.25">
      <c r="A18" s="63" t="s">
        <v>101</v>
      </c>
      <c r="B18" s="61"/>
      <c r="C18" s="61"/>
      <c r="D18" s="61"/>
      <c r="E18" s="61"/>
      <c r="F18" s="61"/>
      <c r="G18" s="61"/>
      <c r="H18" s="61"/>
      <c r="I18" s="61"/>
      <c r="J18" s="61"/>
      <c r="K18">
        <v>1</v>
      </c>
      <c r="L18" s="30"/>
      <c r="M18" s="51"/>
      <c r="N18" s="52"/>
      <c r="O18" s="52"/>
      <c r="P18" s="30"/>
      <c r="Q18" s="30"/>
      <c r="R18" s="30"/>
      <c r="S18" s="30"/>
      <c r="T18" s="30"/>
    </row>
    <row r="19" spans="1:20" x14ac:dyDescent="0.25">
      <c r="A19" s="63" t="s">
        <v>136</v>
      </c>
      <c r="B19" s="61"/>
      <c r="C19" s="61"/>
      <c r="D19" s="61"/>
      <c r="E19" s="61"/>
      <c r="F19" s="61"/>
      <c r="G19" s="61"/>
      <c r="H19" s="61"/>
      <c r="I19" s="61"/>
      <c r="J19" s="61"/>
      <c r="K19">
        <v>1</v>
      </c>
      <c r="M19" s="51"/>
      <c r="N19" s="51"/>
      <c r="O19" s="51"/>
    </row>
    <row r="20" spans="1:20" x14ac:dyDescent="0.25">
      <c r="A20" s="63" t="s">
        <v>137</v>
      </c>
      <c r="B20" s="61"/>
      <c r="C20" s="61"/>
      <c r="D20" s="61"/>
      <c r="E20" s="61"/>
      <c r="F20" s="61"/>
      <c r="G20" s="61"/>
      <c r="H20" s="61"/>
      <c r="I20" s="61"/>
      <c r="J20" s="61"/>
      <c r="K20">
        <v>1</v>
      </c>
      <c r="M20" s="51"/>
      <c r="N20" s="51"/>
      <c r="O20" s="51"/>
    </row>
    <row r="21" spans="1:20" x14ac:dyDescent="0.25">
      <c r="A21" s="63" t="s">
        <v>138</v>
      </c>
      <c r="B21" s="61"/>
      <c r="C21" s="61"/>
      <c r="D21" s="61"/>
      <c r="E21" s="61"/>
      <c r="F21" s="61"/>
      <c r="G21" s="61"/>
      <c r="H21" s="61"/>
      <c r="I21" s="61"/>
      <c r="J21" s="61"/>
      <c r="K21">
        <v>1</v>
      </c>
      <c r="M21" s="51"/>
      <c r="N21" s="51"/>
      <c r="O21" s="51"/>
    </row>
    <row r="22" spans="1:20" x14ac:dyDescent="0.25">
      <c r="A22" s="70" t="s">
        <v>139</v>
      </c>
      <c r="B22" s="61"/>
      <c r="C22" s="61"/>
      <c r="D22" s="61"/>
      <c r="E22" s="61"/>
      <c r="F22" s="61"/>
      <c r="G22" s="61"/>
      <c r="H22" s="61"/>
      <c r="I22" s="61"/>
      <c r="J22" s="61"/>
      <c r="K22">
        <v>1</v>
      </c>
      <c r="M22" s="51"/>
      <c r="N22" s="51"/>
      <c r="O22" s="51"/>
    </row>
    <row r="23" spans="1:20" ht="28.15" customHeight="1" x14ac:dyDescent="0.25">
      <c r="A23" s="63" t="s">
        <v>111</v>
      </c>
      <c r="B23" s="61"/>
      <c r="C23" s="61"/>
      <c r="D23" s="61"/>
      <c r="E23" s="61"/>
      <c r="F23" s="61"/>
      <c r="G23" s="61"/>
      <c r="H23" s="61"/>
      <c r="I23" s="61"/>
      <c r="J23" s="61"/>
      <c r="K23">
        <v>1</v>
      </c>
      <c r="M23" s="51"/>
      <c r="N23" s="51"/>
      <c r="O23" s="51"/>
    </row>
    <row r="24" spans="1:20" x14ac:dyDescent="0.25">
      <c r="A24" s="63" t="s">
        <v>140</v>
      </c>
      <c r="B24" s="61"/>
      <c r="C24" s="61"/>
      <c r="D24" s="61"/>
      <c r="E24" s="61"/>
      <c r="F24" s="61"/>
      <c r="G24" s="61"/>
      <c r="H24" s="61"/>
      <c r="I24" s="61"/>
      <c r="J24" s="61"/>
      <c r="K24">
        <v>1</v>
      </c>
      <c r="M24" s="51"/>
      <c r="N24" s="51"/>
      <c r="O24" s="51"/>
    </row>
    <row r="25" spans="1:20" ht="30" customHeight="1" x14ac:dyDescent="0.25">
      <c r="A25" s="63" t="s">
        <v>114</v>
      </c>
      <c r="B25" s="61"/>
      <c r="C25" s="61"/>
      <c r="D25" s="61"/>
      <c r="E25" s="61"/>
      <c r="F25" s="61"/>
      <c r="G25" s="61"/>
      <c r="H25" s="61"/>
      <c r="I25" s="61"/>
      <c r="J25" s="61"/>
      <c r="K25">
        <v>1</v>
      </c>
      <c r="M25" s="51"/>
      <c r="N25" s="51"/>
      <c r="O25" s="51"/>
    </row>
    <row r="26" spans="1:20" ht="28.5" customHeight="1" x14ac:dyDescent="0.25">
      <c r="A26" s="63" t="s">
        <v>154</v>
      </c>
      <c r="B26" s="61"/>
      <c r="C26" s="61"/>
      <c r="D26" s="61"/>
      <c r="E26" s="61"/>
      <c r="F26" s="61"/>
      <c r="G26" s="61"/>
      <c r="H26" s="61"/>
      <c r="I26" s="61"/>
      <c r="J26" s="61"/>
      <c r="K26">
        <v>1</v>
      </c>
      <c r="M26" s="51"/>
      <c r="N26" s="51"/>
      <c r="O26" s="51"/>
    </row>
    <row r="27" spans="1:20" ht="14.65" customHeight="1" x14ac:dyDescent="0.25">
      <c r="A27" s="64" t="s">
        <v>24</v>
      </c>
      <c r="B27" s="61"/>
      <c r="C27" s="61"/>
      <c r="D27" s="61"/>
      <c r="E27" s="61"/>
      <c r="F27" s="61"/>
      <c r="G27" s="61"/>
      <c r="H27" s="61"/>
      <c r="I27" s="61"/>
      <c r="J27" s="61"/>
      <c r="K27" s="1"/>
      <c r="M27" s="4" t="s">
        <v>25</v>
      </c>
      <c r="N27" s="4">
        <f>SUM($K$29:$K$31)</f>
        <v>3</v>
      </c>
      <c r="O27" s="5">
        <v>3</v>
      </c>
    </row>
    <row r="28" spans="1:20" x14ac:dyDescent="0.25">
      <c r="A28" s="65" t="s">
        <v>19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M28" s="4"/>
      <c r="N28" s="4"/>
      <c r="O28" s="4"/>
    </row>
    <row r="29" spans="1:20" ht="29.45" customHeight="1" x14ac:dyDescent="0.25">
      <c r="A29" s="63" t="s">
        <v>105</v>
      </c>
      <c r="B29" s="61"/>
      <c r="C29" s="61"/>
      <c r="D29" s="61"/>
      <c r="E29" s="61"/>
      <c r="F29" s="61"/>
      <c r="G29" s="61"/>
      <c r="H29" s="61"/>
      <c r="I29" s="61"/>
      <c r="J29" s="61"/>
      <c r="K29">
        <v>1</v>
      </c>
      <c r="M29" s="52"/>
      <c r="N29" s="51"/>
      <c r="O29" s="51"/>
    </row>
    <row r="30" spans="1:20" ht="15" customHeight="1" x14ac:dyDescent="0.25">
      <c r="A30" s="63" t="s">
        <v>106</v>
      </c>
      <c r="B30" s="61"/>
      <c r="C30" s="61"/>
      <c r="D30" s="61"/>
      <c r="E30" s="61"/>
      <c r="F30" s="61"/>
      <c r="G30" s="61"/>
      <c r="H30" s="61"/>
      <c r="I30" s="61"/>
      <c r="J30" s="61"/>
      <c r="K30">
        <v>1</v>
      </c>
      <c r="M30" s="51"/>
      <c r="N30" s="51"/>
      <c r="O30" s="51"/>
    </row>
    <row r="31" spans="1:20" ht="14.45" customHeight="1" x14ac:dyDescent="0.25">
      <c r="A31" s="63" t="s">
        <v>134</v>
      </c>
      <c r="B31" s="61"/>
      <c r="C31" s="61"/>
      <c r="D31" s="61"/>
      <c r="E31" s="61"/>
      <c r="F31" s="61"/>
      <c r="G31" s="61"/>
      <c r="H31" s="61"/>
      <c r="I31" s="61"/>
      <c r="J31" s="61"/>
      <c r="K31">
        <v>1</v>
      </c>
      <c r="M31" s="51"/>
      <c r="N31" s="51"/>
      <c r="O31" s="51"/>
    </row>
    <row r="32" spans="1:20" ht="28.9" customHeight="1" x14ac:dyDescent="0.25">
      <c r="A32" s="64" t="s">
        <v>26</v>
      </c>
      <c r="B32" s="61"/>
      <c r="C32" s="61"/>
      <c r="D32" s="61"/>
      <c r="E32" s="61"/>
      <c r="F32" s="61"/>
      <c r="G32" s="61"/>
      <c r="H32" s="61"/>
      <c r="I32" s="61"/>
      <c r="J32" s="61"/>
      <c r="K32" s="1"/>
      <c r="M32" s="4" t="s">
        <v>27</v>
      </c>
      <c r="N32" s="4">
        <f>SUM($K$34:$K36)</f>
        <v>3</v>
      </c>
      <c r="O32" s="5">
        <v>3</v>
      </c>
    </row>
    <row r="33" spans="1:15" ht="14.65" customHeight="1" x14ac:dyDescent="0.25">
      <c r="A33" s="65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M33" s="4"/>
      <c r="N33" s="4"/>
      <c r="O33" s="4"/>
    </row>
    <row r="34" spans="1:15" ht="30" customHeight="1" x14ac:dyDescent="0.25">
      <c r="A34" s="63" t="s">
        <v>133</v>
      </c>
      <c r="B34" s="61"/>
      <c r="C34" s="61"/>
      <c r="D34" s="61"/>
      <c r="E34" s="61"/>
      <c r="F34" s="61"/>
      <c r="G34" s="61"/>
      <c r="H34" s="61"/>
      <c r="I34" s="61"/>
      <c r="J34" s="61"/>
      <c r="K34">
        <v>1</v>
      </c>
      <c r="M34" s="51"/>
      <c r="N34" s="51"/>
      <c r="O34" s="51"/>
    </row>
    <row r="35" spans="1:15" ht="15" customHeight="1" x14ac:dyDescent="0.25">
      <c r="A35" s="67" t="s">
        <v>29</v>
      </c>
      <c r="B35" s="61"/>
      <c r="C35" s="61"/>
      <c r="D35" s="61"/>
      <c r="E35" s="61"/>
      <c r="F35" s="61"/>
      <c r="G35" s="61"/>
      <c r="H35" s="61"/>
      <c r="I35" s="61"/>
      <c r="J35" s="61"/>
      <c r="K35">
        <v>1</v>
      </c>
      <c r="M35" s="51"/>
      <c r="N35" s="51"/>
      <c r="O35" s="51"/>
    </row>
    <row r="36" spans="1:15" ht="14.45" customHeight="1" x14ac:dyDescent="0.25">
      <c r="A36" s="67" t="s">
        <v>30</v>
      </c>
      <c r="B36" s="61"/>
      <c r="C36" s="61"/>
      <c r="D36" s="61"/>
      <c r="E36" s="61"/>
      <c r="F36" s="61"/>
      <c r="G36" s="61"/>
      <c r="H36" s="61"/>
      <c r="I36" s="61"/>
      <c r="J36" s="61"/>
      <c r="K36">
        <v>1</v>
      </c>
      <c r="M36" s="51"/>
      <c r="N36" s="51"/>
      <c r="O36" s="51"/>
    </row>
    <row r="37" spans="1:15" ht="14.45" customHeight="1" x14ac:dyDescent="0.25">
      <c r="A37" s="64" t="s">
        <v>31</v>
      </c>
      <c r="B37" s="61"/>
      <c r="C37" s="61"/>
      <c r="D37" s="61"/>
      <c r="E37" s="61"/>
      <c r="F37" s="61"/>
      <c r="G37" s="61"/>
      <c r="H37" s="61"/>
      <c r="I37" s="61"/>
      <c r="J37" s="61"/>
      <c r="K37" s="1"/>
      <c r="M37" s="4" t="s">
        <v>32</v>
      </c>
      <c r="N37" s="4">
        <f>SUM($K$39:$K40)</f>
        <v>2</v>
      </c>
      <c r="O37" s="5">
        <v>2</v>
      </c>
    </row>
    <row r="38" spans="1:15" ht="14.45" customHeight="1" x14ac:dyDescent="0.25">
      <c r="A38" s="65" t="s">
        <v>19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M38" s="4"/>
      <c r="N38" s="4"/>
      <c r="O38" s="4"/>
    </row>
    <row r="39" spans="1:15" x14ac:dyDescent="0.25">
      <c r="A39" s="63" t="s">
        <v>33</v>
      </c>
      <c r="B39" s="61"/>
      <c r="C39" s="61"/>
      <c r="D39" s="61"/>
      <c r="E39" s="61"/>
      <c r="F39" s="61"/>
      <c r="G39" s="61"/>
      <c r="H39" s="61"/>
      <c r="I39" s="61"/>
      <c r="J39" s="61"/>
      <c r="K39">
        <v>1</v>
      </c>
      <c r="M39" s="51"/>
      <c r="N39" s="51"/>
      <c r="O39" s="51"/>
    </row>
    <row r="40" spans="1:15" x14ac:dyDescent="0.25">
      <c r="A40" s="63" t="s">
        <v>34</v>
      </c>
      <c r="B40" s="61"/>
      <c r="C40" s="61"/>
      <c r="D40" s="61"/>
      <c r="E40" s="61"/>
      <c r="F40" s="61"/>
      <c r="G40" s="61"/>
      <c r="H40" s="61"/>
      <c r="I40" s="61"/>
      <c r="J40" s="61"/>
      <c r="K40">
        <v>1</v>
      </c>
      <c r="M40" s="51"/>
      <c r="N40" s="51"/>
      <c r="O40" s="51"/>
    </row>
    <row r="41" spans="1:15" x14ac:dyDescent="0.25">
      <c r="A41" s="73" t="s">
        <v>35</v>
      </c>
      <c r="B41" s="61"/>
      <c r="C41" s="61"/>
      <c r="D41" s="61"/>
      <c r="E41" s="61"/>
      <c r="F41" s="61"/>
      <c r="G41" s="61"/>
      <c r="H41" s="61"/>
      <c r="I41" s="61"/>
      <c r="J41" s="61"/>
      <c r="K41" s="3"/>
      <c r="M41" s="4" t="s">
        <v>36</v>
      </c>
      <c r="N41" s="4">
        <f>IF(SUM($N$3:$Q$3)&gt;3,SUM($K$43:$K51),0)</f>
        <v>9</v>
      </c>
      <c r="O41" s="5">
        <v>9</v>
      </c>
    </row>
    <row r="42" spans="1:15" ht="14.45" customHeight="1" x14ac:dyDescent="0.25">
      <c r="A42" s="72" t="s">
        <v>37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M42" s="4"/>
      <c r="N42" s="4"/>
      <c r="O42" s="4"/>
    </row>
    <row r="43" spans="1:15" x14ac:dyDescent="0.25">
      <c r="A43" s="60" t="s">
        <v>109</v>
      </c>
      <c r="B43" s="61"/>
      <c r="C43" s="61"/>
      <c r="D43" s="61"/>
      <c r="E43" s="61"/>
      <c r="F43" s="61"/>
      <c r="G43" s="61"/>
      <c r="H43" s="61"/>
      <c r="I43" s="61"/>
      <c r="J43" s="61"/>
      <c r="K43">
        <v>1</v>
      </c>
      <c r="M43" s="51"/>
      <c r="N43" s="51"/>
      <c r="O43" s="51"/>
    </row>
    <row r="44" spans="1:15" x14ac:dyDescent="0.25">
      <c r="A44" s="60" t="s">
        <v>113</v>
      </c>
      <c r="B44" s="61"/>
      <c r="C44" s="61"/>
      <c r="D44" s="61"/>
      <c r="E44" s="61"/>
      <c r="F44" s="61"/>
      <c r="G44" s="61"/>
      <c r="H44" s="61"/>
      <c r="I44" s="61"/>
      <c r="J44" s="61"/>
      <c r="K44">
        <v>1</v>
      </c>
      <c r="M44" s="51"/>
      <c r="N44" s="51"/>
      <c r="O44" s="51"/>
    </row>
    <row r="45" spans="1:15" x14ac:dyDescent="0.25">
      <c r="A45" s="60" t="s">
        <v>112</v>
      </c>
      <c r="B45" s="61"/>
      <c r="C45" s="61"/>
      <c r="D45" s="61"/>
      <c r="E45" s="61"/>
      <c r="F45" s="61"/>
      <c r="G45" s="61"/>
      <c r="H45" s="61"/>
      <c r="I45" s="61"/>
      <c r="J45" s="61"/>
      <c r="K45">
        <v>1</v>
      </c>
      <c r="M45" s="51"/>
      <c r="N45" s="51"/>
      <c r="O45" s="51"/>
    </row>
    <row r="46" spans="1:15" x14ac:dyDescent="0.25">
      <c r="A46" s="60" t="s">
        <v>110</v>
      </c>
      <c r="B46" s="61"/>
      <c r="C46" s="61"/>
      <c r="D46" s="61"/>
      <c r="E46" s="61"/>
      <c r="F46" s="61"/>
      <c r="G46" s="61"/>
      <c r="H46" s="61"/>
      <c r="I46" s="61"/>
      <c r="J46" s="61"/>
      <c r="K46">
        <v>1</v>
      </c>
      <c r="M46" s="51"/>
      <c r="N46" s="51"/>
      <c r="O46" s="51"/>
    </row>
    <row r="47" spans="1:15" x14ac:dyDescent="0.25">
      <c r="A47" s="67" t="s">
        <v>132</v>
      </c>
      <c r="B47" s="61"/>
      <c r="C47" s="61"/>
      <c r="D47" s="61"/>
      <c r="E47" s="61"/>
      <c r="F47" s="61"/>
      <c r="G47" s="61"/>
      <c r="H47" s="61"/>
      <c r="I47" s="61"/>
      <c r="J47" s="61"/>
      <c r="K47">
        <v>1</v>
      </c>
      <c r="M47" s="51"/>
      <c r="N47" s="51"/>
      <c r="O47" s="51"/>
    </row>
    <row r="48" spans="1:15" x14ac:dyDescent="0.25">
      <c r="A48" s="67" t="s">
        <v>108</v>
      </c>
      <c r="B48" s="61"/>
      <c r="C48" s="61"/>
      <c r="D48" s="61"/>
      <c r="E48" s="61"/>
      <c r="F48" s="61"/>
      <c r="G48" s="61"/>
      <c r="H48" s="61"/>
      <c r="I48" s="61"/>
      <c r="J48" s="61"/>
      <c r="K48">
        <v>1</v>
      </c>
      <c r="M48" s="51"/>
      <c r="N48" s="51"/>
      <c r="O48" s="51"/>
    </row>
    <row r="49" spans="1:15" ht="30" customHeight="1" x14ac:dyDescent="0.25">
      <c r="A49" s="67" t="s">
        <v>117</v>
      </c>
      <c r="B49" s="61"/>
      <c r="C49" s="61"/>
      <c r="D49" s="61"/>
      <c r="E49" s="61"/>
      <c r="F49" s="61"/>
      <c r="G49" s="61"/>
      <c r="H49" s="61"/>
      <c r="I49" s="61"/>
      <c r="J49" s="61"/>
      <c r="K49">
        <v>1</v>
      </c>
      <c r="M49" s="51"/>
      <c r="N49" s="51"/>
      <c r="O49" s="51"/>
    </row>
    <row r="50" spans="1:15" ht="30" customHeight="1" x14ac:dyDescent="0.25">
      <c r="A50" s="67" t="s">
        <v>131</v>
      </c>
      <c r="B50" s="61"/>
      <c r="C50" s="61"/>
      <c r="D50" s="61"/>
      <c r="E50" s="61"/>
      <c r="F50" s="61"/>
      <c r="G50" s="61"/>
      <c r="H50" s="61"/>
      <c r="I50" s="61"/>
      <c r="J50" s="61"/>
      <c r="K50">
        <v>1</v>
      </c>
      <c r="M50" s="51"/>
      <c r="N50" s="51"/>
      <c r="O50" s="51"/>
    </row>
    <row r="51" spans="1:15" ht="30" customHeight="1" x14ac:dyDescent="0.25">
      <c r="A51" s="67" t="s">
        <v>130</v>
      </c>
      <c r="B51" s="61"/>
      <c r="C51" s="61"/>
      <c r="D51" s="61"/>
      <c r="E51" s="61"/>
      <c r="F51" s="61"/>
      <c r="G51" s="61"/>
      <c r="H51" s="61"/>
      <c r="I51" s="61"/>
      <c r="J51" s="61"/>
      <c r="K51">
        <v>1</v>
      </c>
      <c r="M51" s="51"/>
      <c r="N51" s="51"/>
      <c r="O51" s="51"/>
    </row>
    <row r="53" spans="1:15" x14ac:dyDescent="0.25">
      <c r="A53" s="53" t="s">
        <v>141</v>
      </c>
    </row>
    <row r="54" spans="1:15" x14ac:dyDescent="0.25">
      <c r="A54" s="54"/>
    </row>
    <row r="55" spans="1:15" x14ac:dyDescent="0.25">
      <c r="A55" s="54"/>
    </row>
    <row r="56" spans="1:15" x14ac:dyDescent="0.25">
      <c r="A56" s="54"/>
    </row>
    <row r="57" spans="1:15" x14ac:dyDescent="0.25">
      <c r="A57" s="54"/>
    </row>
    <row r="58" spans="1:15" x14ac:dyDescent="0.25">
      <c r="A58" s="54"/>
    </row>
    <row r="59" spans="1:15" x14ac:dyDescent="0.25">
      <c r="A59" s="54"/>
    </row>
    <row r="60" spans="1:15" x14ac:dyDescent="0.25">
      <c r="A60" s="54"/>
    </row>
    <row r="61" spans="1:15" x14ac:dyDescent="0.25">
      <c r="A61" s="54"/>
    </row>
    <row r="62" spans="1:15" x14ac:dyDescent="0.25">
      <c r="A62" s="54"/>
    </row>
    <row r="63" spans="1:15" x14ac:dyDescent="0.25">
      <c r="A63" s="54"/>
    </row>
    <row r="64" spans="1:15" x14ac:dyDescent="0.25">
      <c r="A64" s="54"/>
    </row>
    <row r="65" spans="1:1" x14ac:dyDescent="0.25">
      <c r="A65" s="54"/>
    </row>
    <row r="66" spans="1:1" x14ac:dyDescent="0.25">
      <c r="A66" s="54"/>
    </row>
    <row r="67" spans="1:1" x14ac:dyDescent="0.25">
      <c r="A67" s="54"/>
    </row>
    <row r="68" spans="1:1" x14ac:dyDescent="0.25">
      <c r="A68" s="54"/>
    </row>
    <row r="69" spans="1:1" x14ac:dyDescent="0.25">
      <c r="A69" s="54"/>
    </row>
    <row r="70" spans="1:1" x14ac:dyDescent="0.25">
      <c r="A70" s="54"/>
    </row>
    <row r="71" spans="1:1" x14ac:dyDescent="0.25">
      <c r="A71" s="54"/>
    </row>
    <row r="72" spans="1:1" x14ac:dyDescent="0.25">
      <c r="A72" s="54"/>
    </row>
    <row r="73" spans="1:1" x14ac:dyDescent="0.25">
      <c r="A73" s="54"/>
    </row>
    <row r="74" spans="1:1" x14ac:dyDescent="0.25">
      <c r="A74" s="54"/>
    </row>
    <row r="75" spans="1:1" x14ac:dyDescent="0.25">
      <c r="A75" s="54"/>
    </row>
    <row r="76" spans="1:1" x14ac:dyDescent="0.25">
      <c r="A76" s="54"/>
    </row>
    <row r="77" spans="1:1" x14ac:dyDescent="0.25">
      <c r="A77" s="54"/>
    </row>
  </sheetData>
  <mergeCells count="51">
    <mergeCell ref="K1:L1"/>
    <mergeCell ref="A1:J1"/>
    <mergeCell ref="A36:J36"/>
    <mergeCell ref="A33:K33"/>
    <mergeCell ref="A7:J7"/>
    <mergeCell ref="A25:J25"/>
    <mergeCell ref="A12:J12"/>
    <mergeCell ref="A17:J17"/>
    <mergeCell ref="A15:J15"/>
    <mergeCell ref="A16:K16"/>
    <mergeCell ref="A22:J22"/>
    <mergeCell ref="A43:J43"/>
    <mergeCell ref="A10:J10"/>
    <mergeCell ref="A19:J19"/>
    <mergeCell ref="A13:J13"/>
    <mergeCell ref="A37:J37"/>
    <mergeCell ref="A18:J18"/>
    <mergeCell ref="A27:J27"/>
    <mergeCell ref="A38:K38"/>
    <mergeCell ref="M3:M4"/>
    <mergeCell ref="A48:J48"/>
    <mergeCell ref="A24:J24"/>
    <mergeCell ref="A3:B3"/>
    <mergeCell ref="A21:J21"/>
    <mergeCell ref="A28:K28"/>
    <mergeCell ref="A26:J26"/>
    <mergeCell ref="A34:J34"/>
    <mergeCell ref="A39:J39"/>
    <mergeCell ref="A44:J44"/>
    <mergeCell ref="A6:K6"/>
    <mergeCell ref="A9:J9"/>
    <mergeCell ref="A5:J5"/>
    <mergeCell ref="A8:J8"/>
    <mergeCell ref="A29:J29"/>
    <mergeCell ref="A35:J35"/>
    <mergeCell ref="A51:J51"/>
    <mergeCell ref="A11:J11"/>
    <mergeCell ref="A45:J45"/>
    <mergeCell ref="A42:K42"/>
    <mergeCell ref="A41:J41"/>
    <mergeCell ref="A46:J46"/>
    <mergeCell ref="A50:J50"/>
    <mergeCell ref="A31:J31"/>
    <mergeCell ref="A40:J40"/>
    <mergeCell ref="A30:J30"/>
    <mergeCell ref="A47:J47"/>
    <mergeCell ref="A23:J23"/>
    <mergeCell ref="A32:J32"/>
    <mergeCell ref="A14:J14"/>
    <mergeCell ref="A49:J49"/>
    <mergeCell ref="A20:J20"/>
  </mergeCell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7"/>
  <sheetViews>
    <sheetView workbookViewId="0">
      <selection sqref="A1:J1"/>
    </sheetView>
  </sheetViews>
  <sheetFormatPr baseColWidth="10" defaultColWidth="9.28515625" defaultRowHeight="15" x14ac:dyDescent="0.25"/>
  <cols>
    <col min="13" max="13" width="18.28515625" customWidth="1"/>
    <col min="14" max="17" width="5.5703125" customWidth="1"/>
  </cols>
  <sheetData>
    <row r="1" spans="1:17" ht="21" customHeight="1" x14ac:dyDescent="0.35">
      <c r="A1" s="66" t="s">
        <v>40</v>
      </c>
      <c r="B1" s="61"/>
      <c r="C1" s="61"/>
      <c r="D1" s="61"/>
      <c r="E1" s="61"/>
      <c r="F1" s="61"/>
      <c r="G1" s="61"/>
      <c r="H1" s="61"/>
      <c r="I1" s="61"/>
      <c r="J1" s="61"/>
    </row>
    <row r="2" spans="1:17" x14ac:dyDescent="0.25">
      <c r="M2" s="1" t="s">
        <v>1</v>
      </c>
      <c r="N2" s="1">
        <v>1</v>
      </c>
      <c r="O2" s="1">
        <v>2</v>
      </c>
      <c r="P2" s="1">
        <v>3</v>
      </c>
      <c r="Q2" s="1">
        <v>4</v>
      </c>
    </row>
    <row r="3" spans="1:17" ht="14.45" customHeight="1" x14ac:dyDescent="0.25">
      <c r="A3" s="71" t="s">
        <v>2</v>
      </c>
      <c r="B3" s="61"/>
      <c r="C3" t="str">
        <f>'Eval 1'!C3</f>
        <v>Thomas Hausmann</v>
      </c>
      <c r="M3" s="76" t="s">
        <v>3</v>
      </c>
      <c r="N3">
        <f>IF(OR(AND($O$5=($N$5+1),$K$10=0),$N$5=$O$5),TRUNC($N$15/$O$15),0)</f>
        <v>1</v>
      </c>
      <c r="O3">
        <f>IF(OR(AND($O$5=($N$5+1),$K$10=0),$N$5=$O$5),TRUNC($N$27/$O$27),0)</f>
        <v>1</v>
      </c>
      <c r="P3">
        <f>IF(OR(AND($O$5=($N$5+1),$K$10=0),$N$5=$O$5),TRUNC($N$32/$O$32),0)</f>
        <v>1</v>
      </c>
      <c r="Q3">
        <f>IF(OR(AND($O$5=($N$5+1),$K$10=0),$N$5=$O$5),TRUNC($N$37/$O$37),0)</f>
        <v>1</v>
      </c>
    </row>
    <row r="4" spans="1:17" x14ac:dyDescent="0.25">
      <c r="M4" s="61"/>
    </row>
    <row r="5" spans="1:17" ht="45" customHeight="1" x14ac:dyDescent="0.25">
      <c r="A5" s="68" t="s">
        <v>4</v>
      </c>
      <c r="B5" s="61"/>
      <c r="C5" s="61"/>
      <c r="D5" s="61"/>
      <c r="E5" s="61"/>
      <c r="F5" s="61"/>
      <c r="G5" s="61"/>
      <c r="H5" s="61"/>
      <c r="I5" s="61"/>
      <c r="J5" s="61"/>
      <c r="K5" s="6" t="s">
        <v>5</v>
      </c>
      <c r="M5" s="7" t="s">
        <v>6</v>
      </c>
      <c r="N5" s="7">
        <f>IF($M$12&lt;=2,SUM($K$7:$K$14), 0)</f>
        <v>8</v>
      </c>
      <c r="O5" s="8">
        <v>8</v>
      </c>
    </row>
    <row r="6" spans="1:17" x14ac:dyDescent="0.25">
      <c r="A6" s="74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1"/>
    </row>
    <row r="7" spans="1:17" x14ac:dyDescent="0.25">
      <c r="A7" s="60" t="s">
        <v>8</v>
      </c>
      <c r="B7" s="61"/>
      <c r="C7" s="61"/>
      <c r="D7" s="61"/>
      <c r="E7" s="61"/>
      <c r="F7" s="61"/>
      <c r="G7" s="61"/>
      <c r="H7" s="61"/>
      <c r="I7" s="61"/>
      <c r="J7" s="61"/>
      <c r="K7">
        <v>1</v>
      </c>
      <c r="M7" s="51"/>
      <c r="N7" s="51"/>
      <c r="O7" s="51"/>
    </row>
    <row r="8" spans="1:17" ht="30" customHeight="1" x14ac:dyDescent="0.25">
      <c r="A8" s="67" t="s">
        <v>146</v>
      </c>
      <c r="B8" s="61"/>
      <c r="C8" s="61"/>
      <c r="D8" s="61"/>
      <c r="E8" s="61"/>
      <c r="F8" s="61"/>
      <c r="G8" s="61"/>
      <c r="H8" s="61"/>
      <c r="I8" s="61"/>
      <c r="J8" s="61"/>
      <c r="K8">
        <v>1</v>
      </c>
      <c r="M8" s="51"/>
      <c r="N8" s="51"/>
      <c r="O8" s="51"/>
    </row>
    <row r="9" spans="1:17" ht="30" customHeight="1" x14ac:dyDescent="0.25">
      <c r="A9" s="67" t="s">
        <v>145</v>
      </c>
      <c r="B9" s="61"/>
      <c r="C9" s="61"/>
      <c r="D9" s="61"/>
      <c r="E9" s="61"/>
      <c r="F9" s="61"/>
      <c r="G9" s="61"/>
      <c r="H9" s="61"/>
      <c r="I9" s="61"/>
      <c r="J9" s="61"/>
      <c r="K9">
        <v>1</v>
      </c>
      <c r="L9" t="s">
        <v>11</v>
      </c>
      <c r="M9" s="51">
        <v>0</v>
      </c>
      <c r="N9" s="51"/>
      <c r="O9" s="51"/>
    </row>
    <row r="10" spans="1:17" ht="29.25" customHeight="1" x14ac:dyDescent="0.25">
      <c r="A10" s="67" t="s">
        <v>142</v>
      </c>
      <c r="B10" s="61"/>
      <c r="C10" s="61"/>
      <c r="D10" s="61"/>
      <c r="E10" s="61"/>
      <c r="F10" s="61"/>
      <c r="G10" s="61"/>
      <c r="H10" s="61"/>
      <c r="I10" s="61"/>
      <c r="J10" s="61"/>
      <c r="K10">
        <v>1</v>
      </c>
      <c r="M10" s="51"/>
      <c r="N10" s="51"/>
      <c r="O10" s="51"/>
    </row>
    <row r="11" spans="1:17" x14ac:dyDescent="0.25">
      <c r="A11" s="67" t="s">
        <v>144</v>
      </c>
      <c r="B11" s="61"/>
      <c r="C11" s="61"/>
      <c r="D11" s="61"/>
      <c r="E11" s="61"/>
      <c r="F11" s="61"/>
      <c r="G11" s="61"/>
      <c r="H11" s="61"/>
      <c r="I11" s="61"/>
      <c r="J11" s="61"/>
      <c r="K11">
        <v>1</v>
      </c>
      <c r="M11" s="51"/>
      <c r="N11" s="51"/>
      <c r="O11" s="51"/>
    </row>
    <row r="12" spans="1:17" ht="18" customHeight="1" x14ac:dyDescent="0.25">
      <c r="A12" s="69" t="s">
        <v>151</v>
      </c>
      <c r="B12" s="61"/>
      <c r="C12" s="61"/>
      <c r="D12" s="61"/>
      <c r="E12" s="61"/>
      <c r="F12" s="61"/>
      <c r="G12" s="61"/>
      <c r="H12" s="61"/>
      <c r="I12" s="61"/>
      <c r="J12" s="61"/>
      <c r="K12" s="9">
        <v>1</v>
      </c>
      <c r="L12" t="s">
        <v>15</v>
      </c>
      <c r="M12" s="51">
        <v>0</v>
      </c>
      <c r="N12" s="51"/>
      <c r="O12" s="51"/>
    </row>
    <row r="13" spans="1:17" ht="14.45" customHeight="1" x14ac:dyDescent="0.25">
      <c r="A13" s="69" t="s">
        <v>152</v>
      </c>
      <c r="B13" s="61"/>
      <c r="C13" s="61"/>
      <c r="D13" s="61"/>
      <c r="E13" s="61"/>
      <c r="F13" s="61"/>
      <c r="G13" s="61"/>
      <c r="H13" s="61"/>
      <c r="I13" s="61"/>
      <c r="J13" s="61"/>
      <c r="K13" s="9">
        <v>1</v>
      </c>
      <c r="M13" s="51"/>
      <c r="N13" s="51"/>
      <c r="O13" s="51"/>
    </row>
    <row r="14" spans="1:17" ht="14.45" customHeight="1" x14ac:dyDescent="0.25">
      <c r="A14" s="69" t="s">
        <v>153</v>
      </c>
      <c r="B14" s="61"/>
      <c r="C14" s="61"/>
      <c r="D14" s="61"/>
      <c r="E14" s="61"/>
      <c r="F14" s="61"/>
      <c r="G14" s="61"/>
      <c r="H14" s="61"/>
      <c r="I14" s="61"/>
      <c r="J14" s="61"/>
      <c r="K14" s="9">
        <v>1</v>
      </c>
      <c r="M14" s="51"/>
      <c r="N14" s="51"/>
      <c r="O14" s="51"/>
    </row>
    <row r="15" spans="1:17" x14ac:dyDescent="0.25">
      <c r="A15" s="64" t="s">
        <v>16</v>
      </c>
      <c r="B15" s="61"/>
      <c r="C15" s="61"/>
      <c r="D15" s="61"/>
      <c r="E15" s="61"/>
      <c r="F15" s="61"/>
      <c r="G15" s="61"/>
      <c r="H15" s="61"/>
      <c r="I15" s="61"/>
      <c r="J15" s="61"/>
      <c r="K15" s="1" t="s">
        <v>17</v>
      </c>
      <c r="M15" s="4" t="s">
        <v>18</v>
      </c>
      <c r="N15" s="4">
        <f>SUM($K$17:$K$26)</f>
        <v>10</v>
      </c>
      <c r="O15" s="4">
        <v>10</v>
      </c>
    </row>
    <row r="16" spans="1:17" x14ac:dyDescent="0.25">
      <c r="A16" s="65" t="s">
        <v>19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M16" s="4"/>
      <c r="N16" s="4"/>
      <c r="O16" s="4"/>
    </row>
    <row r="17" spans="1:20" ht="14.45" customHeight="1" x14ac:dyDescent="0.25">
      <c r="A17" s="63" t="s">
        <v>135</v>
      </c>
      <c r="B17" s="61"/>
      <c r="C17" s="61"/>
      <c r="D17" s="61"/>
      <c r="E17" s="61"/>
      <c r="F17" s="61"/>
      <c r="G17" s="61"/>
      <c r="H17" s="61"/>
      <c r="I17" s="61"/>
      <c r="J17" s="61"/>
      <c r="K17">
        <v>1</v>
      </c>
      <c r="M17" s="51"/>
      <c r="N17" s="51"/>
      <c r="O17" s="51"/>
    </row>
    <row r="18" spans="1:20" ht="14.45" customHeight="1" x14ac:dyDescent="0.25">
      <c r="A18" s="63" t="s">
        <v>101</v>
      </c>
      <c r="B18" s="61"/>
      <c r="C18" s="61"/>
      <c r="D18" s="61"/>
      <c r="E18" s="61"/>
      <c r="F18" s="61"/>
      <c r="G18" s="61"/>
      <c r="H18" s="61"/>
      <c r="I18" s="61"/>
      <c r="J18" s="61"/>
      <c r="K18">
        <v>1</v>
      </c>
      <c r="L18" s="30"/>
      <c r="M18" s="51"/>
      <c r="N18" s="52"/>
      <c r="O18" s="52"/>
      <c r="P18" s="30"/>
      <c r="Q18" s="30"/>
      <c r="R18" s="30"/>
      <c r="S18" s="30"/>
      <c r="T18" s="30"/>
    </row>
    <row r="19" spans="1:20" ht="14.45" customHeight="1" x14ac:dyDescent="0.25">
      <c r="A19" s="63" t="s">
        <v>136</v>
      </c>
      <c r="B19" s="61"/>
      <c r="C19" s="61"/>
      <c r="D19" s="61"/>
      <c r="E19" s="61"/>
      <c r="F19" s="61"/>
      <c r="G19" s="61"/>
      <c r="H19" s="61"/>
      <c r="I19" s="61"/>
      <c r="J19" s="61"/>
      <c r="K19">
        <v>1</v>
      </c>
      <c r="M19" s="51"/>
      <c r="N19" s="51"/>
      <c r="O19" s="51"/>
    </row>
    <row r="20" spans="1:20" ht="14.45" customHeight="1" x14ac:dyDescent="0.25">
      <c r="A20" s="63" t="s">
        <v>137</v>
      </c>
      <c r="B20" s="61"/>
      <c r="C20" s="61"/>
      <c r="D20" s="61"/>
      <c r="E20" s="61"/>
      <c r="F20" s="61"/>
      <c r="G20" s="61"/>
      <c r="H20" s="61"/>
      <c r="I20" s="61"/>
      <c r="J20" s="61"/>
      <c r="K20">
        <v>1</v>
      </c>
      <c r="M20" s="51"/>
      <c r="N20" s="51"/>
      <c r="O20" s="51"/>
    </row>
    <row r="21" spans="1:20" ht="14.45" customHeight="1" x14ac:dyDescent="0.25">
      <c r="A21" s="63" t="s">
        <v>138</v>
      </c>
      <c r="B21" s="61"/>
      <c r="C21" s="61"/>
      <c r="D21" s="61"/>
      <c r="E21" s="61"/>
      <c r="F21" s="61"/>
      <c r="G21" s="61"/>
      <c r="H21" s="61"/>
      <c r="I21" s="61"/>
      <c r="J21" s="61"/>
      <c r="K21">
        <v>1</v>
      </c>
      <c r="M21" s="51"/>
      <c r="N21" s="51"/>
      <c r="O21" s="51"/>
    </row>
    <row r="22" spans="1:20" ht="14.65" customHeight="1" x14ac:dyDescent="0.25">
      <c r="A22" s="70" t="s">
        <v>139</v>
      </c>
      <c r="B22" s="61"/>
      <c r="C22" s="61"/>
      <c r="D22" s="61"/>
      <c r="E22" s="61"/>
      <c r="F22" s="61"/>
      <c r="G22" s="61"/>
      <c r="H22" s="61"/>
      <c r="I22" s="61"/>
      <c r="J22" s="61"/>
      <c r="K22">
        <v>1</v>
      </c>
      <c r="M22" s="51"/>
      <c r="N22" s="51"/>
      <c r="O22" s="51"/>
    </row>
    <row r="23" spans="1:20" ht="27.75" customHeight="1" x14ac:dyDescent="0.25">
      <c r="A23" s="63" t="s">
        <v>111</v>
      </c>
      <c r="B23" s="61"/>
      <c r="C23" s="61"/>
      <c r="D23" s="61"/>
      <c r="E23" s="61"/>
      <c r="F23" s="61"/>
      <c r="G23" s="61"/>
      <c r="H23" s="61"/>
      <c r="I23" s="61"/>
      <c r="J23" s="61"/>
      <c r="K23">
        <v>1</v>
      </c>
      <c r="M23" s="51"/>
      <c r="N23" s="51"/>
      <c r="O23" s="51"/>
    </row>
    <row r="24" spans="1:20" ht="14.65" customHeight="1" x14ac:dyDescent="0.25">
      <c r="A24" s="63" t="s">
        <v>140</v>
      </c>
      <c r="B24" s="61"/>
      <c r="C24" s="61"/>
      <c r="D24" s="61"/>
      <c r="E24" s="61"/>
      <c r="F24" s="61"/>
      <c r="G24" s="61"/>
      <c r="H24" s="61"/>
      <c r="I24" s="61"/>
      <c r="J24" s="61"/>
      <c r="K24">
        <v>1</v>
      </c>
      <c r="M24" s="51"/>
      <c r="N24" s="51"/>
      <c r="O24" s="51"/>
    </row>
    <row r="25" spans="1:20" ht="28.5" customHeight="1" x14ac:dyDescent="0.25">
      <c r="A25" s="63" t="s">
        <v>114</v>
      </c>
      <c r="B25" s="61"/>
      <c r="C25" s="61"/>
      <c r="D25" s="61"/>
      <c r="E25" s="61"/>
      <c r="F25" s="61"/>
      <c r="G25" s="61"/>
      <c r="H25" s="61"/>
      <c r="I25" s="61"/>
      <c r="J25" s="61"/>
      <c r="K25">
        <v>1</v>
      </c>
      <c r="M25" s="51"/>
      <c r="N25" s="51"/>
      <c r="O25" s="51"/>
    </row>
    <row r="26" spans="1:20" ht="30" customHeight="1" x14ac:dyDescent="0.25">
      <c r="A26" s="63" t="s">
        <v>154</v>
      </c>
      <c r="B26" s="61"/>
      <c r="C26" s="61"/>
      <c r="D26" s="61"/>
      <c r="E26" s="61"/>
      <c r="F26" s="61"/>
      <c r="G26" s="61"/>
      <c r="H26" s="61"/>
      <c r="I26" s="61"/>
      <c r="J26" s="61"/>
      <c r="K26">
        <v>1</v>
      </c>
      <c r="M26" s="51"/>
      <c r="N26" s="51"/>
      <c r="O26" s="51"/>
    </row>
    <row r="27" spans="1:20" x14ac:dyDescent="0.25">
      <c r="A27" s="64" t="s">
        <v>24</v>
      </c>
      <c r="B27" s="61"/>
      <c r="C27" s="61"/>
      <c r="D27" s="61"/>
      <c r="E27" s="61"/>
      <c r="F27" s="61"/>
      <c r="G27" s="61"/>
      <c r="H27" s="61"/>
      <c r="I27" s="61"/>
      <c r="J27" s="61"/>
      <c r="K27" s="1"/>
      <c r="M27" s="4" t="s">
        <v>25</v>
      </c>
      <c r="N27" s="4">
        <f>SUM($K$29:$K$31)</f>
        <v>3</v>
      </c>
      <c r="O27" s="5">
        <v>3</v>
      </c>
    </row>
    <row r="28" spans="1:20" x14ac:dyDescent="0.25">
      <c r="A28" s="65" t="s">
        <v>19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M28" s="4"/>
      <c r="N28" s="4"/>
      <c r="O28" s="4"/>
    </row>
    <row r="29" spans="1:20" ht="31.15" customHeight="1" x14ac:dyDescent="0.25">
      <c r="A29" s="63" t="s">
        <v>105</v>
      </c>
      <c r="B29" s="61"/>
      <c r="C29" s="61"/>
      <c r="D29" s="61"/>
      <c r="E29" s="61"/>
      <c r="F29" s="61"/>
      <c r="G29" s="61"/>
      <c r="H29" s="61"/>
      <c r="I29" s="61"/>
      <c r="J29" s="61"/>
      <c r="K29">
        <v>1</v>
      </c>
      <c r="M29" s="52"/>
      <c r="N29" s="51"/>
      <c r="O29" s="51"/>
    </row>
    <row r="30" spans="1:20" ht="15" customHeight="1" x14ac:dyDescent="0.25">
      <c r="A30" s="63" t="s">
        <v>106</v>
      </c>
      <c r="B30" s="61"/>
      <c r="C30" s="61"/>
      <c r="D30" s="61"/>
      <c r="E30" s="61"/>
      <c r="F30" s="61"/>
      <c r="G30" s="61"/>
      <c r="H30" s="61"/>
      <c r="I30" s="61"/>
      <c r="J30" s="61"/>
      <c r="K30">
        <v>1</v>
      </c>
      <c r="M30" s="51"/>
      <c r="N30" s="51"/>
      <c r="O30" s="51"/>
    </row>
    <row r="31" spans="1:20" ht="15" customHeight="1" x14ac:dyDescent="0.25">
      <c r="A31" s="63" t="s">
        <v>134</v>
      </c>
      <c r="B31" s="61"/>
      <c r="C31" s="61"/>
      <c r="D31" s="61"/>
      <c r="E31" s="61"/>
      <c r="F31" s="61"/>
      <c r="G31" s="61"/>
      <c r="H31" s="61"/>
      <c r="I31" s="61"/>
      <c r="J31" s="61"/>
      <c r="K31">
        <v>1</v>
      </c>
      <c r="M31" s="51"/>
      <c r="N31" s="51"/>
      <c r="O31" s="51"/>
    </row>
    <row r="32" spans="1:20" x14ac:dyDescent="0.25">
      <c r="A32" s="64" t="s">
        <v>26</v>
      </c>
      <c r="B32" s="61"/>
      <c r="C32" s="61"/>
      <c r="D32" s="61"/>
      <c r="E32" s="61"/>
      <c r="F32" s="61"/>
      <c r="G32" s="61"/>
      <c r="H32" s="61"/>
      <c r="I32" s="61"/>
      <c r="J32" s="61"/>
      <c r="K32" s="1"/>
      <c r="M32" s="4" t="s">
        <v>27</v>
      </c>
      <c r="N32" s="4">
        <f>SUM($K$34:$K36)</f>
        <v>3</v>
      </c>
      <c r="O32" s="5">
        <v>3</v>
      </c>
    </row>
    <row r="33" spans="1:15" x14ac:dyDescent="0.25">
      <c r="A33" s="65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M33" s="4"/>
      <c r="N33" s="4"/>
      <c r="O33" s="4"/>
    </row>
    <row r="34" spans="1:15" ht="29.65" customHeight="1" x14ac:dyDescent="0.25">
      <c r="A34" s="63" t="s">
        <v>133</v>
      </c>
      <c r="B34" s="61"/>
      <c r="C34" s="61"/>
      <c r="D34" s="61"/>
      <c r="E34" s="61"/>
      <c r="F34" s="61"/>
      <c r="G34" s="61"/>
      <c r="H34" s="61"/>
      <c r="I34" s="61"/>
      <c r="J34" s="61"/>
      <c r="K34">
        <v>1</v>
      </c>
      <c r="M34" s="51"/>
      <c r="N34" s="51"/>
      <c r="O34" s="51"/>
    </row>
    <row r="35" spans="1:15" ht="15" customHeight="1" x14ac:dyDescent="0.25">
      <c r="A35" s="67" t="s">
        <v>29</v>
      </c>
      <c r="B35" s="61"/>
      <c r="C35" s="61"/>
      <c r="D35" s="61"/>
      <c r="E35" s="61"/>
      <c r="F35" s="61"/>
      <c r="G35" s="61"/>
      <c r="H35" s="61"/>
      <c r="I35" s="61"/>
      <c r="J35" s="61"/>
      <c r="K35">
        <v>1</v>
      </c>
      <c r="M35" s="51"/>
      <c r="N35" s="51"/>
      <c r="O35" s="51"/>
    </row>
    <row r="36" spans="1:15" ht="15" customHeight="1" x14ac:dyDescent="0.25">
      <c r="A36" s="67" t="s">
        <v>30</v>
      </c>
      <c r="B36" s="61"/>
      <c r="C36" s="61"/>
      <c r="D36" s="61"/>
      <c r="E36" s="61"/>
      <c r="F36" s="61"/>
      <c r="G36" s="61"/>
      <c r="H36" s="61"/>
      <c r="I36" s="61"/>
      <c r="J36" s="61"/>
      <c r="K36">
        <v>1</v>
      </c>
      <c r="M36" s="51"/>
      <c r="N36" s="51"/>
      <c r="O36" s="51"/>
    </row>
    <row r="37" spans="1:15" x14ac:dyDescent="0.25">
      <c r="A37" s="64" t="s">
        <v>31</v>
      </c>
      <c r="B37" s="61"/>
      <c r="C37" s="61"/>
      <c r="D37" s="61"/>
      <c r="E37" s="61"/>
      <c r="F37" s="61"/>
      <c r="G37" s="61"/>
      <c r="H37" s="61"/>
      <c r="I37" s="61"/>
      <c r="J37" s="61"/>
      <c r="K37" s="1"/>
      <c r="M37" s="4" t="s">
        <v>32</v>
      </c>
      <c r="N37" s="4">
        <f>SUM($K$39:$K40)</f>
        <v>2</v>
      </c>
      <c r="O37" s="5">
        <v>2</v>
      </c>
    </row>
    <row r="38" spans="1:15" ht="14.45" customHeight="1" x14ac:dyDescent="0.25">
      <c r="A38" s="65" t="s">
        <v>19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M38" s="4"/>
      <c r="N38" s="4"/>
      <c r="O38" s="4"/>
    </row>
    <row r="39" spans="1:15" x14ac:dyDescent="0.25">
      <c r="A39" s="63" t="s">
        <v>33</v>
      </c>
      <c r="B39" s="61"/>
      <c r="C39" s="61"/>
      <c r="D39" s="61"/>
      <c r="E39" s="61"/>
      <c r="F39" s="61"/>
      <c r="G39" s="61"/>
      <c r="H39" s="61"/>
      <c r="I39" s="61"/>
      <c r="J39" s="61"/>
      <c r="K39">
        <v>1</v>
      </c>
      <c r="M39" s="51"/>
      <c r="N39" s="51"/>
      <c r="O39" s="51"/>
    </row>
    <row r="40" spans="1:15" ht="15" customHeight="1" x14ac:dyDescent="0.25">
      <c r="A40" s="63" t="s">
        <v>34</v>
      </c>
      <c r="B40" s="61"/>
      <c r="C40" s="61"/>
      <c r="D40" s="61"/>
      <c r="E40" s="61"/>
      <c r="F40" s="61"/>
      <c r="G40" s="61"/>
      <c r="H40" s="61"/>
      <c r="I40" s="61"/>
      <c r="J40" s="61"/>
      <c r="K40">
        <v>1</v>
      </c>
      <c r="M40" s="51"/>
      <c r="N40" s="51"/>
      <c r="O40" s="51"/>
    </row>
    <row r="41" spans="1:15" x14ac:dyDescent="0.25">
      <c r="A41" s="73" t="s">
        <v>35</v>
      </c>
      <c r="B41" s="61"/>
      <c r="C41" s="61"/>
      <c r="D41" s="61"/>
      <c r="E41" s="61"/>
      <c r="F41" s="61"/>
      <c r="G41" s="61"/>
      <c r="H41" s="61"/>
      <c r="I41" s="61"/>
      <c r="J41" s="61"/>
      <c r="K41" s="3"/>
      <c r="M41" s="4" t="s">
        <v>36</v>
      </c>
      <c r="N41" s="4">
        <f>IF(SUM($N$3:$Q$3)&gt;3,SUM($K$43:$K51),0)</f>
        <v>9</v>
      </c>
      <c r="O41" s="5">
        <v>9</v>
      </c>
    </row>
    <row r="42" spans="1:15" x14ac:dyDescent="0.25">
      <c r="A42" s="72" t="s">
        <v>37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M42" s="4"/>
      <c r="N42" s="4"/>
      <c r="O42" s="4"/>
    </row>
    <row r="43" spans="1:15" x14ac:dyDescent="0.25">
      <c r="A43" s="60" t="s">
        <v>109</v>
      </c>
      <c r="B43" s="61"/>
      <c r="C43" s="61"/>
      <c r="D43" s="61"/>
      <c r="E43" s="61"/>
      <c r="F43" s="61"/>
      <c r="G43" s="61"/>
      <c r="H43" s="61"/>
      <c r="I43" s="61"/>
      <c r="J43" s="61"/>
      <c r="K43">
        <v>1</v>
      </c>
      <c r="M43" s="51"/>
      <c r="N43" s="51"/>
      <c r="O43" s="51"/>
    </row>
    <row r="44" spans="1:15" x14ac:dyDescent="0.25">
      <c r="A44" s="60" t="s">
        <v>113</v>
      </c>
      <c r="B44" s="61"/>
      <c r="C44" s="61"/>
      <c r="D44" s="61"/>
      <c r="E44" s="61"/>
      <c r="F44" s="61"/>
      <c r="G44" s="61"/>
      <c r="H44" s="61"/>
      <c r="I44" s="61"/>
      <c r="J44" s="61"/>
      <c r="K44">
        <v>1</v>
      </c>
      <c r="M44" s="51"/>
      <c r="N44" s="51"/>
      <c r="O44" s="51"/>
    </row>
    <row r="45" spans="1:15" x14ac:dyDescent="0.25">
      <c r="A45" s="60" t="s">
        <v>112</v>
      </c>
      <c r="B45" s="61"/>
      <c r="C45" s="61"/>
      <c r="D45" s="61"/>
      <c r="E45" s="61"/>
      <c r="F45" s="61"/>
      <c r="G45" s="61"/>
      <c r="H45" s="61"/>
      <c r="I45" s="61"/>
      <c r="J45" s="61"/>
      <c r="K45">
        <v>1</v>
      </c>
      <c r="M45" s="51"/>
      <c r="N45" s="51"/>
      <c r="O45" s="51"/>
    </row>
    <row r="46" spans="1:15" x14ac:dyDescent="0.25">
      <c r="A46" s="60" t="s">
        <v>110</v>
      </c>
      <c r="B46" s="61"/>
      <c r="C46" s="61"/>
      <c r="D46" s="61"/>
      <c r="E46" s="61"/>
      <c r="F46" s="61"/>
      <c r="G46" s="61"/>
      <c r="H46" s="61"/>
      <c r="I46" s="61"/>
      <c r="J46" s="61"/>
      <c r="K46">
        <v>1</v>
      </c>
      <c r="M46" s="51"/>
      <c r="N46" s="51"/>
      <c r="O46" s="51"/>
    </row>
    <row r="47" spans="1:15" ht="14.65" customHeight="1" x14ac:dyDescent="0.25">
      <c r="A47" s="67" t="s">
        <v>132</v>
      </c>
      <c r="B47" s="61"/>
      <c r="C47" s="61"/>
      <c r="D47" s="61"/>
      <c r="E47" s="61"/>
      <c r="F47" s="61"/>
      <c r="G47" s="61"/>
      <c r="H47" s="61"/>
      <c r="I47" s="61"/>
      <c r="J47" s="61"/>
      <c r="K47">
        <v>1</v>
      </c>
      <c r="M47" s="51"/>
      <c r="N47" s="51"/>
      <c r="O47" s="51"/>
    </row>
    <row r="48" spans="1:15" x14ac:dyDescent="0.25">
      <c r="A48" s="67" t="s">
        <v>108</v>
      </c>
      <c r="B48" s="61"/>
      <c r="C48" s="61"/>
      <c r="D48" s="61"/>
      <c r="E48" s="61"/>
      <c r="F48" s="61"/>
      <c r="G48" s="61"/>
      <c r="H48" s="61"/>
      <c r="I48" s="61"/>
      <c r="J48" s="61"/>
      <c r="K48">
        <v>1</v>
      </c>
      <c r="M48" s="51"/>
      <c r="N48" s="51"/>
      <c r="O48" s="51"/>
    </row>
    <row r="49" spans="1:15" ht="29.25" customHeight="1" x14ac:dyDescent="0.25">
      <c r="A49" s="67" t="s">
        <v>117</v>
      </c>
      <c r="B49" s="61"/>
      <c r="C49" s="61"/>
      <c r="D49" s="61"/>
      <c r="E49" s="61"/>
      <c r="F49" s="61"/>
      <c r="G49" s="61"/>
      <c r="H49" s="61"/>
      <c r="I49" s="61"/>
      <c r="J49" s="61"/>
      <c r="K49">
        <v>1</v>
      </c>
      <c r="M49" s="51"/>
      <c r="N49" s="51"/>
      <c r="O49" s="51"/>
    </row>
    <row r="50" spans="1:15" ht="28.5" customHeight="1" x14ac:dyDescent="0.25">
      <c r="A50" s="67" t="s">
        <v>131</v>
      </c>
      <c r="B50" s="61"/>
      <c r="C50" s="61"/>
      <c r="D50" s="61"/>
      <c r="E50" s="61"/>
      <c r="F50" s="61"/>
      <c r="G50" s="61"/>
      <c r="H50" s="61"/>
      <c r="I50" s="61"/>
      <c r="J50" s="61"/>
      <c r="K50">
        <v>1</v>
      </c>
      <c r="M50" s="51"/>
      <c r="N50" s="51"/>
      <c r="O50" s="51"/>
    </row>
    <row r="51" spans="1:15" ht="29.25" customHeight="1" x14ac:dyDescent="0.25">
      <c r="A51" s="67" t="s">
        <v>130</v>
      </c>
      <c r="B51" s="61"/>
      <c r="C51" s="61"/>
      <c r="D51" s="61"/>
      <c r="E51" s="61"/>
      <c r="F51" s="61"/>
      <c r="G51" s="61"/>
      <c r="H51" s="61"/>
      <c r="I51" s="61"/>
      <c r="J51" s="61"/>
      <c r="K51">
        <v>1</v>
      </c>
      <c r="M51" s="51"/>
      <c r="N51" s="51"/>
      <c r="O51" s="51"/>
    </row>
    <row r="53" spans="1:15" x14ac:dyDescent="0.25">
      <c r="A53" s="53" t="s">
        <v>141</v>
      </c>
    </row>
    <row r="54" spans="1:15" x14ac:dyDescent="0.25">
      <c r="A54" s="54"/>
    </row>
    <row r="55" spans="1:15" x14ac:dyDescent="0.25">
      <c r="A55" s="54"/>
    </row>
    <row r="56" spans="1:15" x14ac:dyDescent="0.25">
      <c r="A56" s="54"/>
    </row>
    <row r="57" spans="1:15" x14ac:dyDescent="0.25">
      <c r="A57" s="54"/>
    </row>
    <row r="58" spans="1:15" x14ac:dyDescent="0.25">
      <c r="A58" s="54"/>
    </row>
    <row r="59" spans="1:15" x14ac:dyDescent="0.25">
      <c r="A59" s="54"/>
    </row>
    <row r="60" spans="1:15" x14ac:dyDescent="0.25">
      <c r="A60" s="54"/>
    </row>
    <row r="61" spans="1:15" x14ac:dyDescent="0.25">
      <c r="A61" s="54"/>
    </row>
    <row r="62" spans="1:15" x14ac:dyDescent="0.25">
      <c r="A62" s="54"/>
    </row>
    <row r="63" spans="1:15" x14ac:dyDescent="0.25">
      <c r="A63" s="54"/>
    </row>
    <row r="64" spans="1:15" x14ac:dyDescent="0.25">
      <c r="A64" s="54"/>
    </row>
    <row r="65" spans="1:1" x14ac:dyDescent="0.25">
      <c r="A65" s="54"/>
    </row>
    <row r="66" spans="1:1" x14ac:dyDescent="0.25">
      <c r="A66" s="54"/>
    </row>
    <row r="67" spans="1:1" x14ac:dyDescent="0.25">
      <c r="A67" s="54"/>
    </row>
    <row r="68" spans="1:1" x14ac:dyDescent="0.25">
      <c r="A68" s="54"/>
    </row>
    <row r="69" spans="1:1" x14ac:dyDescent="0.25">
      <c r="A69" s="54"/>
    </row>
    <row r="70" spans="1:1" x14ac:dyDescent="0.25">
      <c r="A70" s="54"/>
    </row>
    <row r="71" spans="1:1" x14ac:dyDescent="0.25">
      <c r="A71" s="54"/>
    </row>
    <row r="72" spans="1:1" x14ac:dyDescent="0.25">
      <c r="A72" s="54"/>
    </row>
    <row r="73" spans="1:1" x14ac:dyDescent="0.25">
      <c r="A73" s="54"/>
    </row>
    <row r="74" spans="1:1" x14ac:dyDescent="0.25">
      <c r="A74" s="54"/>
    </row>
    <row r="75" spans="1:1" x14ac:dyDescent="0.25">
      <c r="A75" s="54"/>
    </row>
    <row r="76" spans="1:1" x14ac:dyDescent="0.25">
      <c r="A76" s="54"/>
    </row>
    <row r="77" spans="1:1" x14ac:dyDescent="0.25">
      <c r="A77" s="54"/>
    </row>
  </sheetData>
  <mergeCells count="50">
    <mergeCell ref="A51:J51"/>
    <mergeCell ref="A49:J49"/>
    <mergeCell ref="A46:J46"/>
    <mergeCell ref="A50:J50"/>
    <mergeCell ref="A26:J26"/>
    <mergeCell ref="A31:J31"/>
    <mergeCell ref="A40:J40"/>
    <mergeCell ref="A39:J39"/>
    <mergeCell ref="A47:J47"/>
    <mergeCell ref="A35:J35"/>
    <mergeCell ref="A45:J45"/>
    <mergeCell ref="A36:J36"/>
    <mergeCell ref="A33:K33"/>
    <mergeCell ref="A42:K42"/>
    <mergeCell ref="A41:J41"/>
    <mergeCell ref="A37:J37"/>
    <mergeCell ref="A44:J44"/>
    <mergeCell ref="A43:J43"/>
    <mergeCell ref="A19:J19"/>
    <mergeCell ref="A13:J13"/>
    <mergeCell ref="A48:J48"/>
    <mergeCell ref="A24:J24"/>
    <mergeCell ref="A25:J25"/>
    <mergeCell ref="A18:J18"/>
    <mergeCell ref="A27:J27"/>
    <mergeCell ref="A21:J21"/>
    <mergeCell ref="A38:K38"/>
    <mergeCell ref="A34:J34"/>
    <mergeCell ref="A32:J32"/>
    <mergeCell ref="A3:B3"/>
    <mergeCell ref="A11:J11"/>
    <mergeCell ref="A6:K6"/>
    <mergeCell ref="A9:J9"/>
    <mergeCell ref="A7:J7"/>
    <mergeCell ref="A12:J12"/>
    <mergeCell ref="A28:K28"/>
    <mergeCell ref="A1:J1"/>
    <mergeCell ref="M3:M4"/>
    <mergeCell ref="A30:J30"/>
    <mergeCell ref="A16:K16"/>
    <mergeCell ref="A15:J15"/>
    <mergeCell ref="A5:J5"/>
    <mergeCell ref="A23:J23"/>
    <mergeCell ref="A14:J14"/>
    <mergeCell ref="A8:J8"/>
    <mergeCell ref="A22:J22"/>
    <mergeCell ref="A17:J17"/>
    <mergeCell ref="A29:J29"/>
    <mergeCell ref="A20:J20"/>
    <mergeCell ref="A10:J10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topLeftCell="A5" workbookViewId="0">
      <selection activeCell="I18" sqref="I18"/>
    </sheetView>
  </sheetViews>
  <sheetFormatPr baseColWidth="10" defaultColWidth="11.42578125" defaultRowHeight="15" x14ac:dyDescent="0.25"/>
  <cols>
    <col min="1" max="1" width="59" customWidth="1"/>
  </cols>
  <sheetData>
    <row r="1" spans="1:10" ht="15.75" customHeight="1" x14ac:dyDescent="0.25">
      <c r="A1" s="11" t="s">
        <v>41</v>
      </c>
      <c r="B1" s="11"/>
      <c r="C1" s="11" t="s">
        <v>17</v>
      </c>
      <c r="D1" s="11" t="s">
        <v>42</v>
      </c>
      <c r="G1" s="12"/>
      <c r="I1" s="13" t="s">
        <v>43</v>
      </c>
      <c r="J1" s="14">
        <v>0</v>
      </c>
    </row>
    <row r="2" spans="1:10" ht="43.5" customHeight="1" x14ac:dyDescent="0.25">
      <c r="A2" s="32" t="s">
        <v>44</v>
      </c>
      <c r="B2" s="15"/>
      <c r="C2" s="15"/>
      <c r="D2" s="16">
        <v>0.3</v>
      </c>
      <c r="F2" s="17" t="s">
        <v>45</v>
      </c>
      <c r="G2" s="12">
        <f>COUNTIF($B$3:$B$4,"=1")</f>
        <v>2</v>
      </c>
      <c r="I2" s="18" t="s">
        <v>46</v>
      </c>
      <c r="J2" s="19">
        <v>0.35</v>
      </c>
    </row>
    <row r="3" spans="1:10" ht="43.5" customHeight="1" x14ac:dyDescent="0.25">
      <c r="A3" s="20" t="s">
        <v>47</v>
      </c>
      <c r="B3" s="20">
        <v>1</v>
      </c>
      <c r="C3" s="20"/>
      <c r="F3" s="21" t="s">
        <v>48</v>
      </c>
      <c r="G3" s="12">
        <v>2</v>
      </c>
      <c r="I3" s="18" t="s">
        <v>49</v>
      </c>
      <c r="J3" s="19">
        <v>0.5</v>
      </c>
    </row>
    <row r="4" spans="1:10" ht="38.65" customHeight="1" x14ac:dyDescent="0.25">
      <c r="A4" s="20" t="s">
        <v>50</v>
      </c>
      <c r="B4" s="20">
        <v>1</v>
      </c>
      <c r="C4" s="20"/>
      <c r="F4" s="17" t="s">
        <v>51</v>
      </c>
      <c r="G4" s="20">
        <f>G2/G3</f>
        <v>1</v>
      </c>
      <c r="I4" s="18" t="s">
        <v>52</v>
      </c>
      <c r="J4" s="19">
        <v>0.7</v>
      </c>
    </row>
    <row r="5" spans="1:10" ht="45" customHeight="1" x14ac:dyDescent="0.25">
      <c r="A5" s="78" t="s">
        <v>53</v>
      </c>
      <c r="B5" s="61"/>
      <c r="C5" s="15"/>
      <c r="D5" s="16">
        <v>0.4</v>
      </c>
      <c r="F5" s="17" t="s">
        <v>45</v>
      </c>
      <c r="G5" s="12">
        <f>COUNTIF($B$6:$B$9,"=1")</f>
        <v>4</v>
      </c>
      <c r="I5" s="24" t="s">
        <v>54</v>
      </c>
      <c r="J5" s="25">
        <v>1</v>
      </c>
    </row>
    <row r="6" spans="1:10" ht="45" customHeight="1" x14ac:dyDescent="0.25">
      <c r="A6" s="20" t="s">
        <v>55</v>
      </c>
      <c r="B6" s="20">
        <v>1</v>
      </c>
      <c r="C6" s="17"/>
      <c r="D6" t="s">
        <v>56</v>
      </c>
      <c r="F6" s="21" t="s">
        <v>48</v>
      </c>
      <c r="G6" s="12">
        <v>4</v>
      </c>
    </row>
    <row r="7" spans="1:10" ht="30" customHeight="1" x14ac:dyDescent="0.25">
      <c r="A7" s="20" t="s">
        <v>57</v>
      </c>
      <c r="B7" s="20">
        <v>1</v>
      </c>
      <c r="C7" s="77"/>
      <c r="D7" s="61"/>
      <c r="E7" s="61"/>
      <c r="F7" s="17" t="s">
        <v>51</v>
      </c>
      <c r="G7" s="20">
        <f>G5/G6</f>
        <v>1</v>
      </c>
    </row>
    <row r="8" spans="1:10" x14ac:dyDescent="0.25">
      <c r="A8" s="20" t="s">
        <v>58</v>
      </c>
      <c r="B8" s="20">
        <v>1</v>
      </c>
      <c r="C8" s="31"/>
      <c r="D8" s="31"/>
      <c r="E8" s="31"/>
      <c r="F8" s="17"/>
      <c r="G8" s="20"/>
    </row>
    <row r="9" spans="1:10" ht="26.25" customHeight="1" x14ac:dyDescent="0.25">
      <c r="A9" s="20" t="s">
        <v>59</v>
      </c>
      <c r="B9" s="20">
        <v>1</v>
      </c>
      <c r="C9" s="31"/>
      <c r="D9" s="31"/>
      <c r="E9" s="31"/>
      <c r="F9" s="17"/>
      <c r="G9" s="20"/>
    </row>
    <row r="10" spans="1:10" ht="45" customHeight="1" x14ac:dyDescent="0.25">
      <c r="A10" s="78" t="s">
        <v>60</v>
      </c>
      <c r="B10" s="61"/>
      <c r="C10" s="15"/>
      <c r="D10" s="16">
        <v>0.3</v>
      </c>
      <c r="F10" s="17" t="s">
        <v>45</v>
      </c>
      <c r="G10" s="12">
        <f>COUNTIF($B$11:$B$14,"=1")</f>
        <v>4</v>
      </c>
    </row>
    <row r="11" spans="1:10" ht="45" customHeight="1" x14ac:dyDescent="0.25">
      <c r="A11" s="20" t="s">
        <v>61</v>
      </c>
      <c r="B11" s="20">
        <v>1</v>
      </c>
      <c r="C11" s="17"/>
      <c r="F11" s="21" t="s">
        <v>48</v>
      </c>
      <c r="G11" s="12">
        <v>4</v>
      </c>
    </row>
    <row r="12" spans="1:10" ht="39" customHeight="1" x14ac:dyDescent="0.25">
      <c r="A12" s="20" t="s">
        <v>62</v>
      </c>
      <c r="B12" s="20">
        <v>1</v>
      </c>
      <c r="C12" s="17"/>
      <c r="F12" s="17" t="s">
        <v>51</v>
      </c>
      <c r="G12" s="20">
        <f>G10/G11</f>
        <v>1</v>
      </c>
    </row>
    <row r="13" spans="1:10" ht="41.25" customHeight="1" x14ac:dyDescent="0.25">
      <c r="A13" s="20" t="s">
        <v>63</v>
      </c>
      <c r="B13" s="20">
        <v>1</v>
      </c>
      <c r="C13" s="31"/>
      <c r="D13" s="31"/>
      <c r="E13" s="31"/>
      <c r="G13" s="12"/>
    </row>
    <row r="14" spans="1:10" ht="53.25" customHeight="1" x14ac:dyDescent="0.25">
      <c r="A14" s="20" t="s">
        <v>64</v>
      </c>
      <c r="B14" s="20">
        <v>1</v>
      </c>
      <c r="C14" s="17"/>
      <c r="G14" s="12"/>
    </row>
    <row r="15" spans="1:10" x14ac:dyDescent="0.25">
      <c r="G15" s="12"/>
    </row>
    <row r="16" spans="1:10" x14ac:dyDescent="0.25">
      <c r="G16" s="12"/>
    </row>
    <row r="17" spans="1:9" ht="30" customHeight="1" x14ac:dyDescent="0.25">
      <c r="A17" s="33" t="s">
        <v>65</v>
      </c>
      <c r="B17" s="30">
        <v>0</v>
      </c>
      <c r="C17" s="79" t="s">
        <v>66</v>
      </c>
      <c r="D17" s="61"/>
      <c r="E17" s="61"/>
      <c r="F17" s="61"/>
      <c r="G17" s="61"/>
      <c r="H17" s="61"/>
      <c r="I17" s="31"/>
    </row>
    <row r="18" spans="1:9" ht="30" customHeight="1" x14ac:dyDescent="0.25">
      <c r="A18" s="34" t="s">
        <v>67</v>
      </c>
      <c r="B18" s="17"/>
      <c r="C18" s="17"/>
      <c r="G18" s="12"/>
    </row>
    <row r="19" spans="1:9" x14ac:dyDescent="0.25">
      <c r="A19" s="22" t="s">
        <v>68</v>
      </c>
      <c r="B19" s="22">
        <f>MROUND((G4*D2+G7*D5+G12*D10)*20,0.1)-B17</f>
        <v>20</v>
      </c>
      <c r="C19" s="23"/>
      <c r="G19" s="12"/>
    </row>
  </sheetData>
  <mergeCells count="4">
    <mergeCell ref="C7:E7"/>
    <mergeCell ref="A5:B5"/>
    <mergeCell ref="A10:B10"/>
    <mergeCell ref="C17:H17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topLeftCell="A3" workbookViewId="0">
      <selection activeCell="B7" sqref="B7"/>
    </sheetView>
  </sheetViews>
  <sheetFormatPr baseColWidth="10" defaultColWidth="11.42578125" defaultRowHeight="15" x14ac:dyDescent="0.25"/>
  <cols>
    <col min="1" max="1" width="18.7109375" customWidth="1"/>
  </cols>
  <sheetData>
    <row r="1" spans="1:12" ht="23.25" customHeight="1" x14ac:dyDescent="0.35">
      <c r="A1" s="81" t="s">
        <v>69</v>
      </c>
      <c r="B1" s="61"/>
      <c r="C1" s="61"/>
      <c r="D1" s="61"/>
      <c r="E1" s="61"/>
      <c r="F1" s="61"/>
      <c r="G1" s="61"/>
      <c r="H1" s="61"/>
      <c r="I1" s="61"/>
    </row>
    <row r="3" spans="1:12" x14ac:dyDescent="0.25">
      <c r="A3" s="71" t="s">
        <v>2</v>
      </c>
      <c r="B3" s="61"/>
      <c r="C3" t="str">
        <f>'Eval 1'!C3</f>
        <v>Thomas Hausmann</v>
      </c>
    </row>
    <row r="5" spans="1:12" x14ac:dyDescent="0.25">
      <c r="A5" s="1"/>
      <c r="B5" s="1" t="s">
        <v>70</v>
      </c>
      <c r="C5" s="1" t="s">
        <v>71</v>
      </c>
      <c r="D5" s="1" t="s">
        <v>72</v>
      </c>
      <c r="E5" s="1" t="s">
        <v>73</v>
      </c>
      <c r="G5" s="1" t="s">
        <v>74</v>
      </c>
    </row>
    <row r="6" spans="1:12" x14ac:dyDescent="0.25">
      <c r="A6" s="10" t="s">
        <v>75</v>
      </c>
      <c r="B6">
        <f>'Eval 1'!N$3</f>
        <v>0</v>
      </c>
      <c r="C6">
        <f>'Eval 1'!O$3</f>
        <v>0</v>
      </c>
      <c r="D6">
        <f>'Eval 1'!P$3</f>
        <v>0</v>
      </c>
      <c r="E6">
        <f>'Eval 1'!Q$3</f>
        <v>0</v>
      </c>
      <c r="G6">
        <f>IF(Acquis5!$B19&lt;10,0,1)</f>
        <v>1</v>
      </c>
    </row>
    <row r="7" spans="1:12" x14ac:dyDescent="0.25">
      <c r="A7" s="10" t="s">
        <v>76</v>
      </c>
      <c r="B7">
        <f>'Eval 2'!$N$3</f>
        <v>1</v>
      </c>
      <c r="C7">
        <f>'Eval 2'!$O$3</f>
        <v>1</v>
      </c>
      <c r="D7">
        <f>'Eval 2'!$P$3</f>
        <v>1</v>
      </c>
      <c r="E7">
        <f>'Eval 2'!$Q$3</f>
        <v>1</v>
      </c>
      <c r="H7" s="45" t="s">
        <v>77</v>
      </c>
      <c r="I7" s="45"/>
      <c r="J7" s="45"/>
      <c r="K7" s="45"/>
      <c r="L7" s="45" t="b">
        <f>IF(COUNTIF(B10:E10,"&gt;=2")&gt;=2,TRUE,FALSE)</f>
        <v>1</v>
      </c>
    </row>
    <row r="8" spans="1:12" ht="28.15" customHeight="1" x14ac:dyDescent="0.25">
      <c r="A8" s="10" t="s">
        <v>78</v>
      </c>
      <c r="B8">
        <f>'Eval 3'!$N$3</f>
        <v>1</v>
      </c>
      <c r="C8">
        <f>'Eval 3'!$O$3</f>
        <v>1</v>
      </c>
      <c r="D8">
        <f>'Eval 3'!$P$3</f>
        <v>1</v>
      </c>
      <c r="E8">
        <f>'Eval 3'!$Q$3</f>
        <v>1</v>
      </c>
      <c r="H8" s="80" t="s">
        <v>79</v>
      </c>
      <c r="I8" s="61"/>
      <c r="J8" s="61"/>
      <c r="K8" s="61"/>
      <c r="L8" s="45" t="b">
        <f>IF(COUNTIF(B10:E10,"&gt;=2")=2,IF(COUNTIF(B10:E10,"=1")&gt;=1,TRUE,FALSE),IF(COUNTIF(B10:E10,"&gt;=2"),TRUE,FALSE))</f>
        <v>1</v>
      </c>
    </row>
    <row r="9" spans="1:12" ht="48" customHeight="1" x14ac:dyDescent="0.25">
      <c r="A9" s="27" t="s">
        <v>80</v>
      </c>
      <c r="B9">
        <v>0</v>
      </c>
      <c r="C9">
        <v>0</v>
      </c>
      <c r="D9">
        <v>0</v>
      </c>
      <c r="E9">
        <v>0</v>
      </c>
      <c r="F9" s="30" t="str">
        <f>IF(AND(L7,L8,L9),"Accès à l'oral","Pas d'accès à l'oral")</f>
        <v>Accès à l'oral</v>
      </c>
      <c r="H9" s="80" t="s">
        <v>81</v>
      </c>
      <c r="I9" s="61"/>
      <c r="J9" s="61"/>
      <c r="K9" s="61"/>
      <c r="L9" s="45" t="b">
        <f>IF(COUNTIF(B10:E10,"&gt;=2")&gt;=3,TRUE,L8)</f>
        <v>1</v>
      </c>
    </row>
    <row r="10" spans="1:12" x14ac:dyDescent="0.25">
      <c r="A10" s="2" t="s">
        <v>82</v>
      </c>
      <c r="B10" s="2">
        <f>SUM(B6:B9)</f>
        <v>2</v>
      </c>
      <c r="C10" s="2">
        <f>SUM(C6:C9)</f>
        <v>2</v>
      </c>
      <c r="D10" s="2">
        <f>SUM(D6:D9)</f>
        <v>2</v>
      </c>
      <c r="E10" s="2">
        <f>SUM(E6:E9)</f>
        <v>2</v>
      </c>
    </row>
    <row r="11" spans="1:12" ht="30" customHeight="1" x14ac:dyDescent="0.25">
      <c r="A11" s="27" t="s">
        <v>83</v>
      </c>
      <c r="B11">
        <v>0</v>
      </c>
    </row>
    <row r="12" spans="1:12" ht="30" customHeight="1" x14ac:dyDescent="0.25">
      <c r="A12" s="27" t="s">
        <v>84</v>
      </c>
      <c r="B12">
        <f>'Eval 1'!M9+'Eval 2'!M9+'Eval 3'!M9</f>
        <v>0</v>
      </c>
    </row>
    <row r="13" spans="1:12" x14ac:dyDescent="0.25">
      <c r="A13" s="10" t="s">
        <v>85</v>
      </c>
      <c r="B13">
        <f>MROUND(IF(AND(B10&gt;1,C10&gt;1,D10&gt;1,E10&gt;1,G6&gt;0),B11-B12+10+SUM('Eval 1'!N45+'Eval 2'!N41+'Eval 3'!N41+Acquis5!B19/2)/SUM('Eval 1'!O45+'Eval 2'!O41+'Eval 3'!O41+10)*10,MIN(7,MAX(5,SUM(B10:E10,C14)))),1)</f>
        <v>18</v>
      </c>
      <c r="C13" s="36"/>
    </row>
    <row r="14" spans="1:12" ht="45" customHeight="1" x14ac:dyDescent="0.25">
      <c r="A14" s="35" t="s">
        <v>86</v>
      </c>
      <c r="C14">
        <f>'Eval 1'!K7+'Eval 2'!K7+'Eval 3'!K7</f>
        <v>3</v>
      </c>
    </row>
    <row r="16" spans="1:12" x14ac:dyDescent="0.25">
      <c r="A16" s="26" t="s">
        <v>87</v>
      </c>
      <c r="B16" s="20"/>
      <c r="C16" s="20"/>
    </row>
    <row r="17" spans="1:7" x14ac:dyDescent="0.25">
      <c r="A17" s="26" t="s">
        <v>88</v>
      </c>
      <c r="B17" s="61"/>
      <c r="C17" s="61"/>
      <c r="D17" s="61"/>
      <c r="E17" s="61"/>
      <c r="F17" s="61"/>
      <c r="G17" s="61"/>
    </row>
    <row r="18" spans="1:7" x14ac:dyDescent="0.25">
      <c r="B18" s="61"/>
      <c r="C18" s="61"/>
      <c r="D18" s="61"/>
      <c r="E18" s="61"/>
      <c r="F18" s="61"/>
      <c r="G18" s="61"/>
    </row>
    <row r="19" spans="1:7" x14ac:dyDescent="0.25">
      <c r="B19" s="61"/>
      <c r="C19" s="61"/>
      <c r="D19" s="61"/>
      <c r="E19" s="61"/>
      <c r="F19" s="61"/>
      <c r="G19" s="61"/>
    </row>
    <row r="20" spans="1:7" x14ac:dyDescent="0.25">
      <c r="B20" s="61"/>
      <c r="C20" s="61"/>
      <c r="D20" s="61"/>
      <c r="E20" s="61"/>
      <c r="F20" s="61"/>
      <c r="G20" s="61"/>
    </row>
    <row r="21" spans="1:7" x14ac:dyDescent="0.25">
      <c r="B21" s="61"/>
      <c r="C21" s="61"/>
      <c r="D21" s="61"/>
      <c r="E21" s="61"/>
      <c r="F21" s="61"/>
      <c r="G21" s="61"/>
    </row>
    <row r="22" spans="1:7" x14ac:dyDescent="0.25">
      <c r="B22" s="61"/>
      <c r="C22" s="61"/>
      <c r="D22" s="61"/>
      <c r="E22" s="61"/>
      <c r="F22" s="61"/>
      <c r="G22" s="61"/>
    </row>
  </sheetData>
  <mergeCells count="5">
    <mergeCell ref="H9:K9"/>
    <mergeCell ref="H8:K8"/>
    <mergeCell ref="A1:I1"/>
    <mergeCell ref="B17:G22"/>
    <mergeCell ref="A3:B3"/>
  </mergeCells>
  <conditionalFormatting sqref="F9">
    <cfRule type="cellIs" dxfId="3" priority="1" operator="equal">
      <formula>"Pas d'accès à l'oral"</formula>
    </cfRule>
    <cfRule type="cellIs" dxfId="2" priority="2" operator="equal">
      <formula>"Accès à l'oral"</formula>
    </cfRule>
  </conditionalFormatting>
  <dataValidations count="2">
    <dataValidation type="whole" allowBlank="1" showInputMessage="1" showErrorMessage="1" sqref="B11:B12" xr:uid="{00000000-0002-0000-0400-000000000000}">
      <formula1>-2</formula1>
      <formula2>2</formula2>
    </dataValidation>
    <dataValidation type="whole" allowBlank="1" showInputMessage="1" showErrorMessage="1" sqref="B9:E9" xr:uid="{00000000-0002-0000-0400-000001000000}">
      <formula1>0</formula1>
      <formula2>2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1"/>
  <sheetViews>
    <sheetView workbookViewId="0">
      <selection activeCell="R11" sqref="R11"/>
    </sheetView>
  </sheetViews>
  <sheetFormatPr baseColWidth="10" defaultColWidth="9.28515625" defaultRowHeight="15" x14ac:dyDescent="0.25"/>
  <cols>
    <col min="13" max="13" width="18.28515625" customWidth="1"/>
    <col min="14" max="17" width="5.5703125" customWidth="1"/>
  </cols>
  <sheetData>
    <row r="1" spans="1:18" ht="21" customHeight="1" x14ac:dyDescent="0.35">
      <c r="A1" s="66" t="s">
        <v>89</v>
      </c>
      <c r="B1" s="61"/>
      <c r="C1" s="61"/>
      <c r="D1" s="61"/>
      <c r="E1" s="61"/>
      <c r="F1" s="61"/>
      <c r="G1" s="61"/>
      <c r="H1" s="61"/>
      <c r="I1" s="61"/>
      <c r="J1" s="61"/>
    </row>
    <row r="2" spans="1:18" x14ac:dyDescent="0.25">
      <c r="M2" s="1" t="s">
        <v>1</v>
      </c>
      <c r="N2" s="1">
        <v>1</v>
      </c>
      <c r="O2" s="1">
        <v>2</v>
      </c>
      <c r="P2" s="1">
        <v>3</v>
      </c>
      <c r="Q2" s="1">
        <v>4</v>
      </c>
      <c r="R2" s="28"/>
    </row>
    <row r="3" spans="1:18" ht="14.45" customHeight="1" x14ac:dyDescent="0.25">
      <c r="A3" s="71" t="s">
        <v>2</v>
      </c>
      <c r="B3" s="61"/>
      <c r="C3" t="str">
        <f>'Eval 1'!C3</f>
        <v>Thomas Hausmann</v>
      </c>
      <c r="M3" s="76" t="s">
        <v>3</v>
      </c>
      <c r="N3">
        <f>IF(OR(AND($O$5=($N$5+1),$K$10=0),$N$5=$O$5),TRUNC($N$15/$O$15),0)</f>
        <v>1</v>
      </c>
      <c r="O3">
        <f>IF(OR(AND($O$5=($N$5+1),$K$10=0),$N$5=$O$5),TRUNC($N$27/$O$27),0)</f>
        <v>1</v>
      </c>
      <c r="P3">
        <f>IF(OR(AND($O$5=($N$5+1),$K$10=0),$N$5=$O$5),TRUNC($N$32/$O$32),0)</f>
        <v>1</v>
      </c>
      <c r="Q3">
        <f>IF(OR(AND($O$5=($N$5+1),$K$10=0),$N$5=$O$5),TRUNC($N$37/$O$37),0)</f>
        <v>1</v>
      </c>
      <c r="R3" s="29"/>
    </row>
    <row r="4" spans="1:18" x14ac:dyDescent="0.25">
      <c r="M4" s="61"/>
    </row>
    <row r="5" spans="1:18" ht="45" customHeight="1" x14ac:dyDescent="0.25">
      <c r="A5" s="68" t="s">
        <v>4</v>
      </c>
      <c r="B5" s="61"/>
      <c r="C5" s="61"/>
      <c r="D5" s="61"/>
      <c r="E5" s="61"/>
      <c r="F5" s="61"/>
      <c r="G5" s="61"/>
      <c r="H5" s="61"/>
      <c r="I5" s="61"/>
      <c r="J5" s="61"/>
      <c r="K5" s="6" t="s">
        <v>5</v>
      </c>
      <c r="M5" s="7" t="s">
        <v>6</v>
      </c>
      <c r="N5" s="7">
        <f>IF($M$12&lt;=4,SUM($K$7:$K$14), 0)</f>
        <v>8</v>
      </c>
      <c r="O5" s="8">
        <v>8</v>
      </c>
    </row>
    <row r="6" spans="1:18" x14ac:dyDescent="0.25">
      <c r="A6" s="74" t="s">
        <v>7</v>
      </c>
      <c r="B6" s="61"/>
      <c r="C6" s="61"/>
      <c r="D6" s="61"/>
      <c r="E6" s="61"/>
      <c r="F6" s="61"/>
      <c r="G6" s="61"/>
      <c r="H6" s="61"/>
      <c r="I6" s="61"/>
      <c r="J6" s="61"/>
      <c r="K6" s="61"/>
    </row>
    <row r="7" spans="1:18" x14ac:dyDescent="0.25">
      <c r="A7" s="60" t="s">
        <v>8</v>
      </c>
      <c r="B7" s="61"/>
      <c r="C7" s="61"/>
      <c r="D7" s="61"/>
      <c r="E7" s="61"/>
      <c r="F7" s="61"/>
      <c r="G7" s="61"/>
      <c r="H7" s="61"/>
      <c r="I7" s="61"/>
      <c r="J7" s="61"/>
      <c r="K7">
        <v>1</v>
      </c>
    </row>
    <row r="8" spans="1:18" ht="29.45" customHeight="1" x14ac:dyDescent="0.25">
      <c r="A8" s="67" t="s">
        <v>9</v>
      </c>
      <c r="B8" s="61"/>
      <c r="C8" s="61"/>
      <c r="D8" s="61"/>
      <c r="E8" s="61"/>
      <c r="F8" s="61"/>
      <c r="G8" s="61"/>
      <c r="H8" s="61"/>
      <c r="I8" s="61"/>
      <c r="J8" s="61"/>
      <c r="K8">
        <v>1</v>
      </c>
    </row>
    <row r="9" spans="1:18" ht="52.5" customHeight="1" x14ac:dyDescent="0.25">
      <c r="A9" s="67" t="s">
        <v>10</v>
      </c>
      <c r="B9" s="61"/>
      <c r="C9" s="61"/>
      <c r="D9" s="61"/>
      <c r="E9" s="61"/>
      <c r="F9" s="61"/>
      <c r="G9" s="61"/>
      <c r="H9" s="61"/>
      <c r="I9" s="61"/>
      <c r="J9" s="61"/>
      <c r="K9">
        <v>1</v>
      </c>
      <c r="L9" t="s">
        <v>11</v>
      </c>
      <c r="M9">
        <v>0</v>
      </c>
    </row>
    <row r="10" spans="1:18" ht="36" customHeight="1" x14ac:dyDescent="0.25">
      <c r="A10" s="67" t="s">
        <v>12</v>
      </c>
      <c r="B10" s="61"/>
      <c r="C10" s="61"/>
      <c r="D10" s="61"/>
      <c r="E10" s="61"/>
      <c r="F10" s="61"/>
      <c r="G10" s="61"/>
      <c r="H10" s="61"/>
      <c r="I10" s="61"/>
      <c r="J10" s="61"/>
      <c r="K10">
        <v>1</v>
      </c>
    </row>
    <row r="11" spans="1:18" ht="19.5" customHeight="1" x14ac:dyDescent="0.25">
      <c r="A11" s="67" t="s">
        <v>13</v>
      </c>
      <c r="B11" s="61"/>
      <c r="C11" s="61"/>
      <c r="D11" s="61"/>
      <c r="E11" s="61"/>
      <c r="F11" s="61"/>
      <c r="G11" s="61"/>
      <c r="H11" s="61"/>
      <c r="I11" s="61"/>
      <c r="J11" s="61"/>
      <c r="K11">
        <v>1</v>
      </c>
    </row>
    <row r="12" spans="1:18" ht="27.6" customHeight="1" x14ac:dyDescent="0.25">
      <c r="A12" s="69" t="s">
        <v>14</v>
      </c>
      <c r="B12" s="61"/>
      <c r="C12" s="61"/>
      <c r="D12" s="61"/>
      <c r="E12" s="61"/>
      <c r="F12" s="61"/>
      <c r="G12" s="61"/>
      <c r="H12" s="61"/>
      <c r="I12" s="61"/>
      <c r="J12" s="61"/>
      <c r="K12" s="9">
        <v>1</v>
      </c>
      <c r="L12" t="s">
        <v>15</v>
      </c>
      <c r="M12">
        <v>0</v>
      </c>
      <c r="N12" t="s">
        <v>90</v>
      </c>
      <c r="O12">
        <v>4</v>
      </c>
    </row>
    <row r="13" spans="1:18" ht="14.45" customHeight="1" x14ac:dyDescent="0.25">
      <c r="A13" s="69" t="s">
        <v>99</v>
      </c>
      <c r="B13" s="61"/>
      <c r="C13" s="61"/>
      <c r="D13" s="61"/>
      <c r="E13" s="61"/>
      <c r="F13" s="61"/>
      <c r="G13" s="61"/>
      <c r="H13" s="61"/>
      <c r="I13" s="61"/>
      <c r="J13" s="61"/>
      <c r="K13" s="9">
        <v>1</v>
      </c>
    </row>
    <row r="14" spans="1:18" ht="14.45" customHeight="1" x14ac:dyDescent="0.25">
      <c r="A14" s="69" t="s">
        <v>100</v>
      </c>
      <c r="B14" s="61"/>
      <c r="C14" s="61"/>
      <c r="D14" s="61"/>
      <c r="E14" s="61"/>
      <c r="F14" s="61"/>
      <c r="G14" s="61"/>
      <c r="H14" s="61"/>
      <c r="I14" s="61"/>
      <c r="J14" s="61"/>
      <c r="K14" s="9">
        <v>1</v>
      </c>
    </row>
    <row r="15" spans="1:18" x14ac:dyDescent="0.25">
      <c r="A15" s="64" t="s">
        <v>16</v>
      </c>
      <c r="B15" s="61"/>
      <c r="C15" s="61"/>
      <c r="D15" s="61"/>
      <c r="E15" s="61"/>
      <c r="F15" s="61"/>
      <c r="G15" s="61"/>
      <c r="H15" s="61"/>
      <c r="I15" s="61"/>
      <c r="J15" s="61"/>
      <c r="K15" s="1" t="s">
        <v>17</v>
      </c>
      <c r="M15" s="4" t="s">
        <v>18</v>
      </c>
      <c r="N15" s="4">
        <f>SUM($K$17:$K$26)</f>
        <v>10</v>
      </c>
      <c r="O15" s="4">
        <v>10</v>
      </c>
    </row>
    <row r="16" spans="1:18" x14ac:dyDescent="0.25">
      <c r="A16" s="65" t="s">
        <v>19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M16" s="4"/>
      <c r="N16" s="4"/>
      <c r="O16" s="4"/>
    </row>
    <row r="17" spans="1:21" ht="14.45" customHeight="1" x14ac:dyDescent="0.25">
      <c r="A17" s="83" t="s">
        <v>20</v>
      </c>
      <c r="B17" s="61"/>
      <c r="C17" s="61"/>
      <c r="D17" s="61"/>
      <c r="E17" s="61"/>
      <c r="F17" s="61"/>
      <c r="G17" s="61"/>
      <c r="H17" s="61"/>
      <c r="I17" s="61"/>
      <c r="J17" s="61"/>
      <c r="K17">
        <v>1</v>
      </c>
      <c r="M17" s="30" t="s">
        <v>91</v>
      </c>
    </row>
    <row r="18" spans="1:21" ht="14.45" customHeight="1" x14ac:dyDescent="0.25">
      <c r="A18" s="83" t="s">
        <v>101</v>
      </c>
      <c r="B18" s="61"/>
      <c r="C18" s="61"/>
      <c r="D18" s="61"/>
      <c r="E18" s="61"/>
      <c r="F18" s="61"/>
      <c r="G18" s="61"/>
      <c r="H18" s="61"/>
      <c r="I18" s="61"/>
      <c r="J18" s="61"/>
      <c r="K18">
        <v>1</v>
      </c>
      <c r="L18" s="30"/>
      <c r="M18" s="30"/>
      <c r="N18" s="30"/>
      <c r="O18" s="30"/>
      <c r="P18" s="30"/>
      <c r="Q18" s="30"/>
      <c r="R18" s="30"/>
      <c r="S18" s="30"/>
      <c r="T18" s="30"/>
    </row>
    <row r="19" spans="1:21" ht="14.45" customHeight="1" x14ac:dyDescent="0.25">
      <c r="A19" s="83" t="s">
        <v>21</v>
      </c>
      <c r="B19" s="61"/>
      <c r="C19" s="61"/>
      <c r="D19" s="61"/>
      <c r="E19" s="61"/>
      <c r="F19" s="61"/>
      <c r="G19" s="61"/>
      <c r="H19" s="61"/>
      <c r="I19" s="61"/>
      <c r="J19" s="61"/>
      <c r="K19">
        <v>1</v>
      </c>
    </row>
    <row r="20" spans="1:21" ht="14.45" customHeight="1" x14ac:dyDescent="0.25">
      <c r="A20" s="83" t="s">
        <v>102</v>
      </c>
      <c r="B20" s="61"/>
      <c r="C20" s="61"/>
      <c r="D20" s="61"/>
      <c r="E20" s="61"/>
      <c r="F20" s="61"/>
      <c r="G20" s="61"/>
      <c r="H20" s="61"/>
      <c r="I20" s="61"/>
      <c r="J20" s="61"/>
      <c r="K20">
        <v>1</v>
      </c>
    </row>
    <row r="21" spans="1:21" ht="14.45" customHeight="1" x14ac:dyDescent="0.25">
      <c r="A21" s="83" t="s">
        <v>104</v>
      </c>
      <c r="B21" s="61"/>
      <c r="C21" s="61"/>
      <c r="D21" s="61"/>
      <c r="E21" s="61"/>
      <c r="F21" s="61"/>
      <c r="G21" s="61"/>
      <c r="H21" s="61"/>
      <c r="I21" s="61"/>
      <c r="J21" s="61"/>
      <c r="K21">
        <v>1</v>
      </c>
    </row>
    <row r="22" spans="1:21" ht="14.65" customHeight="1" x14ac:dyDescent="0.25">
      <c r="A22" s="82" t="s">
        <v>103</v>
      </c>
      <c r="B22" s="61"/>
      <c r="C22" s="61"/>
      <c r="D22" s="61"/>
      <c r="E22" s="61"/>
      <c r="F22" s="61"/>
      <c r="G22" s="61"/>
      <c r="H22" s="61"/>
      <c r="I22" s="61"/>
      <c r="J22" s="61"/>
      <c r="K22">
        <v>1</v>
      </c>
    </row>
    <row r="23" spans="1:21" ht="33" customHeight="1" x14ac:dyDescent="0.25">
      <c r="A23" s="63" t="s">
        <v>111</v>
      </c>
      <c r="B23" s="61"/>
      <c r="C23" s="61"/>
      <c r="D23" s="61"/>
      <c r="E23" s="61"/>
      <c r="F23" s="61"/>
      <c r="G23" s="61"/>
      <c r="H23" s="61"/>
      <c r="I23" s="61"/>
      <c r="J23" s="61"/>
      <c r="K23">
        <v>1</v>
      </c>
      <c r="M23" s="67"/>
      <c r="N23" s="61"/>
      <c r="O23" s="61"/>
      <c r="P23" s="61"/>
      <c r="Q23" s="61"/>
      <c r="R23" s="61"/>
      <c r="S23" s="61"/>
      <c r="T23" s="61"/>
      <c r="U23" s="61"/>
    </row>
    <row r="24" spans="1:21" ht="14.65" customHeight="1" x14ac:dyDescent="0.25">
      <c r="A24" s="63" t="s">
        <v>22</v>
      </c>
      <c r="B24" s="61"/>
      <c r="C24" s="61"/>
      <c r="D24" s="61"/>
      <c r="E24" s="61"/>
      <c r="F24" s="61"/>
      <c r="G24" s="61"/>
      <c r="H24" s="61"/>
      <c r="I24" s="61"/>
      <c r="J24" s="61"/>
      <c r="K24">
        <v>1</v>
      </c>
    </row>
    <row r="25" spans="1:21" ht="14.45" customHeight="1" x14ac:dyDescent="0.25">
      <c r="A25" s="63" t="s">
        <v>114</v>
      </c>
      <c r="B25" s="61"/>
      <c r="C25" s="61"/>
      <c r="D25" s="61"/>
      <c r="E25" s="61"/>
      <c r="F25" s="61"/>
      <c r="G25" s="61"/>
      <c r="H25" s="61"/>
      <c r="I25" s="61"/>
      <c r="J25" s="61"/>
      <c r="K25">
        <v>1</v>
      </c>
    </row>
    <row r="26" spans="1:21" ht="14.45" customHeight="1" x14ac:dyDescent="0.25">
      <c r="A26" s="63" t="s">
        <v>23</v>
      </c>
      <c r="B26" s="61"/>
      <c r="C26" s="61"/>
      <c r="D26" s="61"/>
      <c r="E26" s="61"/>
      <c r="F26" s="61"/>
      <c r="G26" s="61"/>
      <c r="H26" s="61"/>
      <c r="I26" s="61"/>
      <c r="J26" s="61"/>
      <c r="K26">
        <v>1</v>
      </c>
    </row>
    <row r="27" spans="1:21" ht="31.15" customHeight="1" x14ac:dyDescent="0.25">
      <c r="A27" s="64" t="s">
        <v>24</v>
      </c>
      <c r="B27" s="61"/>
      <c r="C27" s="61"/>
      <c r="D27" s="61"/>
      <c r="E27" s="61"/>
      <c r="F27" s="61"/>
      <c r="G27" s="61"/>
      <c r="H27" s="61"/>
      <c r="I27" s="61"/>
      <c r="J27" s="61"/>
      <c r="K27" s="1"/>
      <c r="M27" s="4" t="s">
        <v>25</v>
      </c>
      <c r="N27" s="4">
        <f>SUM($K$29:$K$31)</f>
        <v>3</v>
      </c>
      <c r="O27" s="4">
        <v>3</v>
      </c>
    </row>
    <row r="28" spans="1:21" ht="31.15" customHeight="1" x14ac:dyDescent="0.25">
      <c r="A28" s="65" t="s">
        <v>19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M28" s="4"/>
      <c r="N28" s="4"/>
      <c r="O28" s="4"/>
    </row>
    <row r="29" spans="1:21" ht="31.15" customHeight="1" x14ac:dyDescent="0.25">
      <c r="A29" s="63" t="s">
        <v>105</v>
      </c>
      <c r="B29" s="61"/>
      <c r="C29" s="61"/>
      <c r="D29" s="61"/>
      <c r="E29" s="61"/>
      <c r="F29" s="61"/>
      <c r="G29" s="61"/>
      <c r="H29" s="61"/>
      <c r="I29" s="61"/>
      <c r="J29" s="61"/>
      <c r="K29">
        <v>1</v>
      </c>
    </row>
    <row r="30" spans="1:21" ht="14.45" customHeight="1" x14ac:dyDescent="0.25">
      <c r="A30" s="63" t="s">
        <v>106</v>
      </c>
      <c r="B30" s="61"/>
      <c r="C30" s="61"/>
      <c r="D30" s="61"/>
      <c r="E30" s="61"/>
      <c r="F30" s="61"/>
      <c r="G30" s="61"/>
      <c r="H30" s="61"/>
      <c r="I30" s="61"/>
      <c r="J30" s="61"/>
      <c r="K30">
        <v>1</v>
      </c>
    </row>
    <row r="31" spans="1:21" ht="14.45" customHeight="1" x14ac:dyDescent="0.25">
      <c r="A31" s="63" t="s">
        <v>107</v>
      </c>
      <c r="B31" s="61"/>
      <c r="C31" s="61"/>
      <c r="D31" s="61"/>
      <c r="E31" s="61"/>
      <c r="F31" s="61"/>
      <c r="G31" s="61"/>
      <c r="H31" s="61"/>
      <c r="I31" s="61"/>
      <c r="J31" s="61"/>
      <c r="K31">
        <v>1</v>
      </c>
    </row>
    <row r="32" spans="1:21" ht="30" customHeight="1" x14ac:dyDescent="0.25">
      <c r="A32" s="64" t="s">
        <v>26</v>
      </c>
      <c r="B32" s="61"/>
      <c r="C32" s="61"/>
      <c r="D32" s="61"/>
      <c r="E32" s="61"/>
      <c r="F32" s="61"/>
      <c r="G32" s="61"/>
      <c r="H32" s="61"/>
      <c r="I32" s="61"/>
      <c r="J32" s="61"/>
      <c r="K32" s="1"/>
      <c r="M32" s="4" t="s">
        <v>27</v>
      </c>
      <c r="N32" s="4">
        <f>SUM($K$34:$K36)</f>
        <v>3</v>
      </c>
      <c r="O32" s="4">
        <v>3</v>
      </c>
    </row>
    <row r="33" spans="1:22" ht="30" customHeight="1" x14ac:dyDescent="0.25">
      <c r="A33" s="65" t="s">
        <v>19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M33" s="4"/>
      <c r="N33" s="4"/>
      <c r="O33" s="4"/>
    </row>
    <row r="34" spans="1:22" ht="29.65" customHeight="1" x14ac:dyDescent="0.25">
      <c r="A34" s="63" t="s">
        <v>28</v>
      </c>
      <c r="B34" s="61"/>
      <c r="C34" s="61"/>
      <c r="D34" s="61"/>
      <c r="E34" s="61"/>
      <c r="F34" s="61"/>
      <c r="G34" s="61"/>
      <c r="H34" s="61"/>
      <c r="I34" s="61"/>
      <c r="J34" s="61"/>
      <c r="K34">
        <v>1</v>
      </c>
    </row>
    <row r="35" spans="1:22" ht="14.45" customHeight="1" x14ac:dyDescent="0.25">
      <c r="A35" s="67" t="s">
        <v>29</v>
      </c>
      <c r="B35" s="61"/>
      <c r="C35" s="61"/>
      <c r="D35" s="61"/>
      <c r="E35" s="61"/>
      <c r="F35" s="61"/>
      <c r="G35" s="61"/>
      <c r="H35" s="61"/>
      <c r="I35" s="61"/>
      <c r="J35" s="61"/>
      <c r="K35">
        <v>1</v>
      </c>
    </row>
    <row r="36" spans="1:22" ht="14.45" customHeight="1" x14ac:dyDescent="0.25">
      <c r="A36" s="67" t="s">
        <v>30</v>
      </c>
      <c r="B36" s="61"/>
      <c r="C36" s="61"/>
      <c r="D36" s="61"/>
      <c r="E36" s="61"/>
      <c r="F36" s="61"/>
      <c r="G36" s="61"/>
      <c r="H36" s="61"/>
      <c r="I36" s="61"/>
      <c r="J36" s="61"/>
      <c r="K36">
        <v>1</v>
      </c>
    </row>
    <row r="37" spans="1:22" ht="28.15" customHeight="1" x14ac:dyDescent="0.25">
      <c r="A37" s="64" t="s">
        <v>31</v>
      </c>
      <c r="B37" s="61"/>
      <c r="C37" s="61"/>
      <c r="D37" s="61"/>
      <c r="E37" s="61"/>
      <c r="F37" s="61"/>
      <c r="G37" s="61"/>
      <c r="H37" s="61"/>
      <c r="I37" s="61"/>
      <c r="J37" s="61"/>
      <c r="K37" s="1"/>
      <c r="M37" s="4" t="s">
        <v>32</v>
      </c>
      <c r="N37" s="4">
        <f>SUM($K$39:$K40)</f>
        <v>2</v>
      </c>
      <c r="O37" s="4">
        <v>2</v>
      </c>
    </row>
    <row r="38" spans="1:22" ht="14.45" customHeight="1" x14ac:dyDescent="0.25">
      <c r="A38" s="65" t="s">
        <v>19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M38" s="4"/>
      <c r="N38" s="4"/>
      <c r="O38" s="4"/>
    </row>
    <row r="39" spans="1:22" ht="14.45" customHeight="1" x14ac:dyDescent="0.25">
      <c r="A39" s="63" t="s">
        <v>33</v>
      </c>
      <c r="B39" s="61"/>
      <c r="C39" s="61"/>
      <c r="D39" s="61"/>
      <c r="E39" s="61"/>
      <c r="F39" s="61"/>
      <c r="G39" s="61"/>
      <c r="H39" s="61"/>
      <c r="I39" s="61"/>
      <c r="J39" s="61"/>
      <c r="K39">
        <v>1</v>
      </c>
      <c r="M39" s="67"/>
      <c r="N39" s="61"/>
      <c r="O39" s="61"/>
      <c r="P39" s="61"/>
      <c r="Q39" s="61"/>
      <c r="R39" s="61"/>
      <c r="S39" s="61"/>
      <c r="T39" s="61"/>
      <c r="U39" s="61"/>
      <c r="V39" s="61"/>
    </row>
    <row r="40" spans="1:22" ht="14.45" customHeight="1" x14ac:dyDescent="0.25">
      <c r="A40" s="63" t="s">
        <v>34</v>
      </c>
      <c r="B40" s="61"/>
      <c r="C40" s="61"/>
      <c r="D40" s="61"/>
      <c r="E40" s="61"/>
      <c r="F40" s="61"/>
      <c r="G40" s="61"/>
      <c r="H40" s="61"/>
      <c r="I40" s="61"/>
      <c r="J40" s="61"/>
      <c r="K40">
        <v>1</v>
      </c>
    </row>
    <row r="41" spans="1:22" x14ac:dyDescent="0.25">
      <c r="A41" s="73" t="s">
        <v>35</v>
      </c>
      <c r="B41" s="61"/>
      <c r="C41" s="61"/>
      <c r="D41" s="61"/>
      <c r="E41" s="61"/>
      <c r="F41" s="61"/>
      <c r="G41" s="61"/>
      <c r="H41" s="61"/>
      <c r="I41" s="61"/>
      <c r="J41" s="61"/>
      <c r="K41" s="3"/>
      <c r="M41" s="4" t="s">
        <v>36</v>
      </c>
      <c r="N41" s="4">
        <f>IF(SUM($N$3:$Q$3)&gt;3,SUM($K$43:$K51),0)</f>
        <v>9</v>
      </c>
      <c r="O41" s="4">
        <v>9</v>
      </c>
    </row>
    <row r="42" spans="1:22" x14ac:dyDescent="0.25">
      <c r="A42" s="72" t="s">
        <v>37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M42" s="4"/>
      <c r="N42" s="4"/>
      <c r="O42" s="4"/>
    </row>
    <row r="43" spans="1:22" x14ac:dyDescent="0.25">
      <c r="A43" s="60" t="s">
        <v>109</v>
      </c>
      <c r="B43" s="61"/>
      <c r="C43" s="61"/>
      <c r="D43" s="61"/>
      <c r="E43" s="61"/>
      <c r="F43" s="61"/>
      <c r="G43" s="61"/>
      <c r="H43" s="61"/>
      <c r="I43" s="61"/>
      <c r="J43" s="61"/>
      <c r="K43">
        <v>1</v>
      </c>
    </row>
    <row r="44" spans="1:22" x14ac:dyDescent="0.25">
      <c r="A44" s="60" t="s">
        <v>113</v>
      </c>
      <c r="B44" s="61"/>
      <c r="C44" s="61"/>
      <c r="D44" s="61"/>
      <c r="E44" s="61"/>
      <c r="F44" s="61"/>
      <c r="G44" s="61"/>
      <c r="H44" s="61"/>
      <c r="I44" s="61"/>
      <c r="J44" s="61"/>
      <c r="K44">
        <v>1</v>
      </c>
    </row>
    <row r="45" spans="1:22" x14ac:dyDescent="0.25">
      <c r="A45" s="60" t="s">
        <v>112</v>
      </c>
      <c r="B45" s="61"/>
      <c r="C45" s="61"/>
      <c r="D45" s="61"/>
      <c r="E45" s="61"/>
      <c r="F45" s="61"/>
      <c r="G45" s="61"/>
      <c r="H45" s="61"/>
      <c r="I45" s="61"/>
      <c r="J45" s="61"/>
      <c r="K45">
        <v>1</v>
      </c>
    </row>
    <row r="46" spans="1:22" x14ac:dyDescent="0.25">
      <c r="A46" s="60" t="s">
        <v>110</v>
      </c>
      <c r="B46" s="61"/>
      <c r="C46" s="61"/>
      <c r="D46" s="61"/>
      <c r="E46" s="61"/>
      <c r="F46" s="61"/>
      <c r="G46" s="61"/>
      <c r="H46" s="61"/>
      <c r="I46" s="61"/>
      <c r="J46" s="61"/>
      <c r="K46">
        <v>1</v>
      </c>
    </row>
    <row r="47" spans="1:22" ht="27.6" customHeight="1" x14ac:dyDescent="0.25">
      <c r="A47" s="67" t="s">
        <v>116</v>
      </c>
      <c r="B47" s="61"/>
      <c r="C47" s="61"/>
      <c r="D47" s="61"/>
      <c r="E47" s="61"/>
      <c r="F47" s="61"/>
      <c r="G47" s="61"/>
      <c r="H47" s="61"/>
      <c r="I47" s="61"/>
      <c r="J47" s="61"/>
      <c r="K47">
        <v>1</v>
      </c>
    </row>
    <row r="48" spans="1:22" ht="27" customHeight="1" x14ac:dyDescent="0.25">
      <c r="A48" s="67" t="s">
        <v>108</v>
      </c>
      <c r="B48" s="61"/>
      <c r="C48" s="61"/>
      <c r="D48" s="61"/>
      <c r="E48" s="61"/>
      <c r="F48" s="61"/>
      <c r="G48" s="61"/>
      <c r="H48" s="61"/>
      <c r="I48" s="61"/>
      <c r="J48" s="61"/>
      <c r="K48">
        <v>1</v>
      </c>
    </row>
    <row r="49" spans="1:11" ht="14.45" customHeight="1" x14ac:dyDescent="0.25">
      <c r="A49" s="67" t="s">
        <v>117</v>
      </c>
      <c r="B49" s="61"/>
      <c r="C49" s="61"/>
      <c r="D49" s="61"/>
      <c r="E49" s="61"/>
      <c r="F49" s="61"/>
      <c r="G49" s="61"/>
      <c r="H49" s="61"/>
      <c r="I49" s="61"/>
      <c r="J49" s="61"/>
      <c r="K49">
        <v>1</v>
      </c>
    </row>
    <row r="50" spans="1:11" ht="14.45" customHeight="1" x14ac:dyDescent="0.25">
      <c r="A50" s="67" t="s">
        <v>115</v>
      </c>
      <c r="B50" s="61"/>
      <c r="C50" s="61"/>
      <c r="D50" s="61"/>
      <c r="E50" s="61"/>
      <c r="F50" s="61"/>
      <c r="G50" s="61"/>
      <c r="H50" s="61"/>
      <c r="I50" s="61"/>
      <c r="J50" s="61"/>
      <c r="K50">
        <v>1</v>
      </c>
    </row>
    <row r="51" spans="1:11" ht="30" customHeight="1" x14ac:dyDescent="0.25">
      <c r="A51" s="67" t="s">
        <v>38</v>
      </c>
      <c r="B51" s="61"/>
      <c r="C51" s="61"/>
      <c r="D51" s="61"/>
      <c r="E51" s="61"/>
      <c r="F51" s="61"/>
      <c r="G51" s="61"/>
      <c r="H51" s="61"/>
      <c r="I51" s="61"/>
      <c r="J51" s="61"/>
      <c r="K51">
        <v>1</v>
      </c>
    </row>
  </sheetData>
  <mergeCells count="52">
    <mergeCell ref="A1:J1"/>
    <mergeCell ref="A36:J36"/>
    <mergeCell ref="M39:V39"/>
    <mergeCell ref="M23:U23"/>
    <mergeCell ref="A33:K33"/>
    <mergeCell ref="A7:J7"/>
    <mergeCell ref="A25:J25"/>
    <mergeCell ref="A37:J37"/>
    <mergeCell ref="A18:J18"/>
    <mergeCell ref="A27:J27"/>
    <mergeCell ref="A38:K38"/>
    <mergeCell ref="A21:J21"/>
    <mergeCell ref="A12:J12"/>
    <mergeCell ref="A28:K28"/>
    <mergeCell ref="A26:J26"/>
    <mergeCell ref="M3:M4"/>
    <mergeCell ref="A48:J48"/>
    <mergeCell ref="A24:J24"/>
    <mergeCell ref="A3:B3"/>
    <mergeCell ref="A49:J49"/>
    <mergeCell ref="A51:J51"/>
    <mergeCell ref="A11:J11"/>
    <mergeCell ref="A45:J45"/>
    <mergeCell ref="A42:K42"/>
    <mergeCell ref="A41:J41"/>
    <mergeCell ref="A46:J46"/>
    <mergeCell ref="A50:J50"/>
    <mergeCell ref="A6:K6"/>
    <mergeCell ref="A31:J31"/>
    <mergeCell ref="A40:J40"/>
    <mergeCell ref="A9:J9"/>
    <mergeCell ref="A30:J30"/>
    <mergeCell ref="A39:J39"/>
    <mergeCell ref="A34:J34"/>
    <mergeCell ref="A15:J15"/>
    <mergeCell ref="A16:K16"/>
    <mergeCell ref="A47:J47"/>
    <mergeCell ref="A35:J35"/>
    <mergeCell ref="A43:J43"/>
    <mergeCell ref="A44:J44"/>
    <mergeCell ref="A5:J5"/>
    <mergeCell ref="A23:J23"/>
    <mergeCell ref="A32:J32"/>
    <mergeCell ref="A14:J14"/>
    <mergeCell ref="A8:J8"/>
    <mergeCell ref="A22:J22"/>
    <mergeCell ref="A17:J17"/>
    <mergeCell ref="A29:J29"/>
    <mergeCell ref="A20:J20"/>
    <mergeCell ref="A10:J10"/>
    <mergeCell ref="A13:J13"/>
    <mergeCell ref="A19:J19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A5" workbookViewId="0">
      <selection activeCell="A25" sqref="A25:G25"/>
    </sheetView>
  </sheetViews>
  <sheetFormatPr baseColWidth="10" defaultColWidth="11.42578125" defaultRowHeight="15" x14ac:dyDescent="0.25"/>
  <cols>
    <col min="1" max="1" width="18.85546875" customWidth="1"/>
    <col min="15" max="18" width="6" bestFit="1" customWidth="1"/>
  </cols>
  <sheetData>
    <row r="1" spans="1:18" ht="23.25" customHeight="1" x14ac:dyDescent="0.35">
      <c r="A1" s="37" t="s">
        <v>69</v>
      </c>
      <c r="B1" s="38"/>
      <c r="C1" s="38"/>
      <c r="D1" s="38"/>
      <c r="E1" s="38"/>
      <c r="F1" s="38"/>
      <c r="G1" s="38"/>
      <c r="H1" s="39"/>
      <c r="I1" s="39"/>
    </row>
    <row r="3" spans="1:18" x14ac:dyDescent="0.25">
      <c r="A3" s="36" t="s">
        <v>2</v>
      </c>
      <c r="B3" t="str">
        <f>'Eval 1'!C3</f>
        <v>Thomas Hausmann</v>
      </c>
    </row>
    <row r="5" spans="1:18" x14ac:dyDescent="0.25">
      <c r="A5" s="1"/>
      <c r="B5" s="1" t="s">
        <v>70</v>
      </c>
      <c r="C5" s="1" t="s">
        <v>71</v>
      </c>
      <c r="D5" s="1" t="s">
        <v>72</v>
      </c>
      <c r="E5" s="1" t="s">
        <v>73</v>
      </c>
      <c r="G5" s="1" t="s">
        <v>74</v>
      </c>
    </row>
    <row r="6" spans="1:18" x14ac:dyDescent="0.25">
      <c r="A6" s="40" t="s">
        <v>92</v>
      </c>
      <c r="B6">
        <f>Recap1s!B10</f>
        <v>2</v>
      </c>
      <c r="C6">
        <f>Recap1s!C10</f>
        <v>2</v>
      </c>
      <c r="D6">
        <f>Recap1s!D10</f>
        <v>2</v>
      </c>
      <c r="E6">
        <f>Recap1s!E10</f>
        <v>2</v>
      </c>
      <c r="G6">
        <f>IF(Acquis5!B19&lt;10,0,1)</f>
        <v>1</v>
      </c>
      <c r="H6" t="s">
        <v>93</v>
      </c>
    </row>
    <row r="7" spans="1:18" ht="22.9" customHeight="1" x14ac:dyDescent="0.25">
      <c r="A7" s="40" t="s">
        <v>94</v>
      </c>
      <c r="B7">
        <f>'Eval 4'!N3</f>
        <v>1</v>
      </c>
      <c r="C7">
        <f>'Eval 4'!O3</f>
        <v>1</v>
      </c>
      <c r="D7">
        <f>'Eval 4'!P3</f>
        <v>1</v>
      </c>
      <c r="E7">
        <f>'Eval 4'!Q3</f>
        <v>1</v>
      </c>
      <c r="H7" s="84" t="s">
        <v>95</v>
      </c>
      <c r="I7" s="61"/>
      <c r="J7" s="61"/>
      <c r="K7" s="61"/>
      <c r="L7" s="61"/>
      <c r="M7" s="61"/>
      <c r="N7" s="45" t="b">
        <f>IF(AND(COUNTIF(B9:E9,"=0")&lt;=1,COUNTIF(B7:E7,"=1")&gt;=1),TRUE,FALSE)</f>
        <v>1</v>
      </c>
    </row>
    <row r="8" spans="1:18" ht="45" customHeight="1" x14ac:dyDescent="0.25">
      <c r="A8" s="27" t="s">
        <v>80</v>
      </c>
      <c r="B8">
        <v>0</v>
      </c>
      <c r="C8">
        <v>0</v>
      </c>
      <c r="D8">
        <v>0</v>
      </c>
      <c r="E8">
        <v>0</v>
      </c>
      <c r="F8" s="30" t="str">
        <f>IF(AND(N7,N8),"Accès à l'oral","Pas d'accès à l'oral")</f>
        <v>Accès à l'oral</v>
      </c>
      <c r="H8" s="84" t="s">
        <v>96</v>
      </c>
      <c r="I8" s="61"/>
      <c r="J8" s="61"/>
      <c r="K8" s="61"/>
      <c r="L8" s="61"/>
      <c r="M8" s="61"/>
      <c r="N8" s="45" t="b">
        <f>IF(N9=0,TRUE,IF(O8,TRUE,IF(P8,TRUE,IF(Q8,TRUE,R8))))</f>
        <v>1</v>
      </c>
      <c r="O8" s="43" t="b">
        <f>IF(O9=1,TRUE,FALSE)</f>
        <v>0</v>
      </c>
      <c r="P8" s="43" t="b">
        <f>IF(P9=1,TRUE,FALSE)</f>
        <v>0</v>
      </c>
      <c r="Q8" s="43" t="b">
        <f>IF(Q9=1,TRUE,FALSE)</f>
        <v>0</v>
      </c>
      <c r="R8" s="43" t="b">
        <f>IF(R9=1,TRUE,FALSE)</f>
        <v>0</v>
      </c>
    </row>
    <row r="9" spans="1:18" x14ac:dyDescent="0.25">
      <c r="A9" s="2" t="s">
        <v>82</v>
      </c>
      <c r="B9" s="2">
        <f>SUM(B6:B8)</f>
        <v>3</v>
      </c>
      <c r="C9" s="2">
        <f>SUM(C6:C8)</f>
        <v>3</v>
      </c>
      <c r="D9" s="2">
        <f>SUM(D6:D8)</f>
        <v>3</v>
      </c>
      <c r="E9" s="2">
        <f>SUM(E6:E8)</f>
        <v>3</v>
      </c>
      <c r="K9" t="s">
        <v>97</v>
      </c>
      <c r="N9">
        <f>COUNTIF(B6:E6,"=0")</f>
        <v>0</v>
      </c>
      <c r="O9" s="43">
        <f>_xlfn.IFNA(HLOOKUP(0,B6:$E$7,2,FALSE),2)</f>
        <v>2</v>
      </c>
      <c r="P9" s="43">
        <f>_xlfn.IFNA(HLOOKUP(0,C6:$E$7,2,FALSE),2)</f>
        <v>2</v>
      </c>
      <c r="Q9" s="43">
        <f>_xlfn.IFNA(HLOOKUP(0,D6:$E$7,2,FALSE),2)</f>
        <v>2</v>
      </c>
      <c r="R9" s="43">
        <f>_xlfn.IFNA(HLOOKUP(0,E6:$E$7,2,FALSE),2)</f>
        <v>2</v>
      </c>
    </row>
    <row r="10" spans="1:18" ht="30" customHeight="1" x14ac:dyDescent="0.25">
      <c r="A10" s="27" t="s">
        <v>83</v>
      </c>
      <c r="B10">
        <v>0</v>
      </c>
      <c r="H10" s="42"/>
      <c r="I10" s="42"/>
      <c r="J10" s="42"/>
      <c r="K10" s="42"/>
      <c r="L10" s="42"/>
      <c r="M10" s="42"/>
    </row>
    <row r="11" spans="1:18" ht="30" customHeight="1" x14ac:dyDescent="0.25">
      <c r="A11" s="27" t="s">
        <v>98</v>
      </c>
      <c r="B11">
        <f>'Eval 4'!M9</f>
        <v>0</v>
      </c>
    </row>
    <row r="12" spans="1:18" x14ac:dyDescent="0.25">
      <c r="A12" s="10" t="s">
        <v>85</v>
      </c>
      <c r="B12" s="36">
        <f>MROUND(IF(AND(B9&gt;1,C9&gt;1,D9&gt;1,E9&gt;1,G6&gt;0),B10-B11+10+SUM('Eval 1'!N45+'Eval 2'!N41+'Eval 3'!N41+'Eval 4'!N41+Acquis5!B19/2)/SUM('Eval 1'!O45+'Eval 2'!O41+'Eval 3'!O41+'Eval 4'!O41+10)*10,MIN(7,MAX(5,SUM(B9:E9,C14)))),1)</f>
        <v>18</v>
      </c>
      <c r="D12" s="36"/>
    </row>
    <row r="14" spans="1:18" x14ac:dyDescent="0.25">
      <c r="A14" s="44" t="s">
        <v>86</v>
      </c>
      <c r="C14">
        <f>'Eval 1'!K7+'Eval 2'!K7+'Eval 3'!K7+'Eval 4'!K7</f>
        <v>4</v>
      </c>
    </row>
    <row r="15" spans="1:18" x14ac:dyDescent="0.25">
      <c r="A15" s="44"/>
    </row>
    <row r="16" spans="1:18" x14ac:dyDescent="0.25">
      <c r="A16" s="26" t="s">
        <v>87</v>
      </c>
      <c r="B16" s="20"/>
      <c r="C16" s="20"/>
    </row>
    <row r="17" spans="1:7" x14ac:dyDescent="0.25">
      <c r="A17" s="26"/>
      <c r="B17" s="41"/>
      <c r="C17" s="41"/>
      <c r="D17" s="41"/>
      <c r="E17" s="41"/>
      <c r="F17" s="41"/>
      <c r="G17" s="41"/>
    </row>
    <row r="18" spans="1:7" x14ac:dyDescent="0.25">
      <c r="A18" s="85"/>
      <c r="B18" s="61"/>
      <c r="C18" s="61"/>
      <c r="D18" s="61"/>
      <c r="E18" s="61"/>
      <c r="F18" s="61"/>
      <c r="G18" s="61"/>
    </row>
    <row r="19" spans="1:7" x14ac:dyDescent="0.25">
      <c r="A19" s="85"/>
      <c r="B19" s="61"/>
      <c r="C19" s="61"/>
      <c r="D19" s="61"/>
      <c r="E19" s="61"/>
      <c r="F19" s="61"/>
      <c r="G19" s="61"/>
    </row>
    <row r="20" spans="1:7" x14ac:dyDescent="0.25">
      <c r="A20" s="85"/>
      <c r="B20" s="61"/>
      <c r="C20" s="61"/>
      <c r="D20" s="61"/>
      <c r="E20" s="61"/>
      <c r="F20" s="61"/>
      <c r="G20" s="61"/>
    </row>
    <row r="21" spans="1:7" x14ac:dyDescent="0.25">
      <c r="A21" s="85"/>
      <c r="B21" s="61"/>
      <c r="C21" s="61"/>
      <c r="D21" s="61"/>
      <c r="E21" s="61"/>
      <c r="F21" s="61"/>
      <c r="G21" s="61"/>
    </row>
    <row r="22" spans="1:7" x14ac:dyDescent="0.25">
      <c r="A22" s="85"/>
      <c r="B22" s="61"/>
      <c r="C22" s="61"/>
      <c r="D22" s="61"/>
      <c r="E22" s="61"/>
      <c r="F22" s="61"/>
      <c r="G22" s="61"/>
    </row>
    <row r="23" spans="1:7" x14ac:dyDescent="0.25">
      <c r="A23" s="85"/>
      <c r="B23" s="61"/>
      <c r="C23" s="61"/>
      <c r="D23" s="61"/>
      <c r="E23" s="61"/>
      <c r="F23" s="61"/>
      <c r="G23" s="61"/>
    </row>
    <row r="24" spans="1:7" x14ac:dyDescent="0.25">
      <c r="A24" s="85"/>
      <c r="B24" s="61"/>
      <c r="C24" s="61"/>
      <c r="D24" s="61"/>
      <c r="E24" s="61"/>
      <c r="F24" s="61"/>
      <c r="G24" s="61"/>
    </row>
    <row r="25" spans="1:7" x14ac:dyDescent="0.25">
      <c r="A25" s="85"/>
      <c r="B25" s="61"/>
      <c r="C25" s="61"/>
      <c r="D25" s="61"/>
      <c r="E25" s="61"/>
      <c r="F25" s="61"/>
      <c r="G25" s="61"/>
    </row>
    <row r="26" spans="1:7" x14ac:dyDescent="0.25">
      <c r="A26" s="85"/>
      <c r="B26" s="61"/>
      <c r="C26" s="61"/>
      <c r="D26" s="61"/>
      <c r="E26" s="61"/>
      <c r="F26" s="61"/>
      <c r="G26" s="61"/>
    </row>
    <row r="27" spans="1:7" x14ac:dyDescent="0.25">
      <c r="A27" s="85"/>
      <c r="B27" s="61"/>
      <c r="C27" s="61"/>
      <c r="D27" s="61"/>
      <c r="E27" s="61"/>
      <c r="F27" s="61"/>
      <c r="G27" s="61"/>
    </row>
  </sheetData>
  <mergeCells count="12">
    <mergeCell ref="H7:M7"/>
    <mergeCell ref="A18:G18"/>
    <mergeCell ref="A27:G27"/>
    <mergeCell ref="A21:G21"/>
    <mergeCell ref="A22:G22"/>
    <mergeCell ref="A26:G26"/>
    <mergeCell ref="A24:G24"/>
    <mergeCell ref="A20:G20"/>
    <mergeCell ref="H8:M8"/>
    <mergeCell ref="A25:G25"/>
    <mergeCell ref="A19:G19"/>
    <mergeCell ref="A23:G23"/>
  </mergeCells>
  <conditionalFormatting sqref="F8">
    <cfRule type="cellIs" dxfId="1" priority="1" operator="equal">
      <formula>"Pas d'accès à l'oral"</formula>
    </cfRule>
    <cfRule type="cellIs" dxfId="0" priority="2" operator="equal">
      <formula>"Accès à l'oral"</formula>
    </cfRule>
  </conditionalFormatting>
  <dataValidations count="2">
    <dataValidation type="whole" allowBlank="1" showInputMessage="1" showErrorMessage="1" sqref="B8:E8" xr:uid="{00000000-0002-0000-0600-000000000000}">
      <formula1>0</formula1>
      <formula2>2</formula2>
    </dataValidation>
    <dataValidation type="whole" allowBlank="1" showInputMessage="1" showErrorMessage="1" sqref="B10:B11" xr:uid="{00000000-0002-0000-0600-000001000000}">
      <formula1>-2</formula1>
      <formula2>2</formula2>
    </dataValidation>
  </dataValidations>
  <pageMargins left="0.7" right="0.7" top="0.75" bottom="0.75" header="0.3" footer="0.3"/>
  <pageSetup paperSize="9" orientation="portrait" horizontalDpi="4294967293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CA122DF330504E8DDF1118C388620A" ma:contentTypeVersion="17" ma:contentTypeDescription="Crée un document." ma:contentTypeScope="" ma:versionID="b2a5d76adb4ebd4bc28c30ff3149f97c">
  <xsd:schema xmlns:xsd="http://www.w3.org/2001/XMLSchema" xmlns:xs="http://www.w3.org/2001/XMLSchema" xmlns:p="http://schemas.microsoft.com/office/2006/metadata/properties" xmlns:ns2="0a342697-6111-499e-81c9-b1da37191110" xmlns:ns3="f0b5bed9-8d01-41b1-a1e6-aae57005c40e" targetNamespace="http://schemas.microsoft.com/office/2006/metadata/properties" ma:root="true" ma:fieldsID="56317f2523d951174830830d6eac0752" ns2:_="" ns3:_="">
    <xsd:import namespace="0a342697-6111-499e-81c9-b1da37191110"/>
    <xsd:import namespace="f0b5bed9-8d01-41b1-a1e6-aae57005c4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rdr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42697-6111-499e-81c9-b1da37191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rdre" ma:index="10" nillable="true" ma:displayName="Ordre" ma:decimals="0" ma:internalName="Ordre">
      <xsd:simpleType>
        <xsd:restriction base="dms:Number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0b6a2ec7-4460-416d-86cb-abc62d7adb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5bed9-8d01-41b1-a1e6-aae57005c40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1233e63-c795-435f-b521-72035c69e17b}" ma:internalName="TaxCatchAll" ma:showField="CatchAllData" ma:web="f0b5bed9-8d01-41b1-a1e6-aae57005c4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re xmlns="0a342697-6111-499e-81c9-b1da37191110" xsi:nil="true"/>
    <lcf76f155ced4ddcb4097134ff3c332f xmlns="0a342697-6111-499e-81c9-b1da37191110">
      <Terms xmlns="http://schemas.microsoft.com/office/infopath/2007/PartnerControls"/>
    </lcf76f155ced4ddcb4097134ff3c332f>
    <TaxCatchAll xmlns="f0b5bed9-8d01-41b1-a1e6-aae57005c4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A7F405-5F40-4440-BA2B-1860A79C3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42697-6111-499e-81c9-b1da37191110"/>
    <ds:schemaRef ds:uri="f0b5bed9-8d01-41b1-a1e6-aae57005c4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50F6BC-FEC3-43C7-AF74-9D0CE079CA1E}">
  <ds:schemaRefs>
    <ds:schemaRef ds:uri="http://schemas.microsoft.com/office/2006/metadata/properties"/>
    <ds:schemaRef ds:uri="http://schemas.microsoft.com/office/infopath/2007/PartnerControls"/>
    <ds:schemaRef ds:uri="0a342697-6111-499e-81c9-b1da37191110"/>
    <ds:schemaRef ds:uri="f0b5bed9-8d01-41b1-a1e6-aae57005c40e"/>
  </ds:schemaRefs>
</ds:datastoreItem>
</file>

<file path=customXml/itemProps3.xml><?xml version="1.0" encoding="utf-8"?>
<ds:datastoreItem xmlns:ds="http://schemas.openxmlformats.org/officeDocument/2006/customXml" ds:itemID="{4EB5D495-E69C-414E-8D12-9F4E61486E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Eval 1</vt:lpstr>
      <vt:lpstr>Eval 2</vt:lpstr>
      <vt:lpstr>Eval 3</vt:lpstr>
      <vt:lpstr>Acquis5</vt:lpstr>
      <vt:lpstr>Recap1s</vt:lpstr>
      <vt:lpstr>Eval 4</vt:lpstr>
      <vt:lpstr>Recap2s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Christiane Mathy</dc:creator>
  <cp:keywords/>
  <dc:description/>
  <cp:lastModifiedBy>Thomas HAUSMANN</cp:lastModifiedBy>
  <cp:revision/>
  <dcterms:created xsi:type="dcterms:W3CDTF">2020-04-19T09:49:47Z</dcterms:created>
  <dcterms:modified xsi:type="dcterms:W3CDTF">2026-08-06T14:13:26Z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0x010100A5CA122DF330504E8DDF1118C388620A</vt:lpwstr>
  </property>
  <property fmtid="{D5CDD505-2E9C-101B-9397-08002B2CF9AE}" pid="3" name="MediaServiceImageTags">
    <vt:lpwstr/>
  </property>
</Properties>
</file>